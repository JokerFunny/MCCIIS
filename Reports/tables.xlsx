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V:\Winda_BB_2025\SSD_backup\Univer\Sharaga 15 Term\MCCIIS\Reports\"/>
    </mc:Choice>
  </mc:AlternateContent>
  <xr:revisionPtr revIDLastSave="0" documentId="13_ncr:1_{12A42717-4F2D-4892-BAC8-20AAE9C31277}" xr6:coauthVersionLast="47" xr6:coauthVersionMax="47" xr10:uidLastSave="{00000000-0000-0000-0000-000000000000}"/>
  <bookViews>
    <workbookView xWindow="-34905" yWindow="2865" windowWidth="28800" windowHeight="15345" activeTab="1" xr2:uid="{00000000-000D-0000-FFFF-FFFF00000000}"/>
  </bookViews>
  <sheets>
    <sheet name="Lab1" sheetId="1" r:id="rId1"/>
    <sheet name="Lab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7" i="2" l="1"/>
  <c r="E37" i="2"/>
  <c r="F37" i="2"/>
  <c r="G37" i="2"/>
  <c r="H37" i="2"/>
  <c r="C37" i="2"/>
  <c r="D28" i="2"/>
  <c r="E28" i="2"/>
  <c r="F28" i="2"/>
  <c r="G28" i="2"/>
  <c r="H28" i="2"/>
  <c r="C28" i="2"/>
  <c r="L10" i="2"/>
  <c r="M10" i="2"/>
  <c r="N10" i="2"/>
  <c r="K10" i="2"/>
  <c r="D19" i="2"/>
  <c r="E19" i="2"/>
  <c r="F19" i="2"/>
  <c r="G19" i="2"/>
  <c r="H19" i="2"/>
  <c r="C19" i="2"/>
  <c r="D10" i="2"/>
  <c r="C10" i="2"/>
  <c r="F10" i="2"/>
  <c r="E10" i="2"/>
  <c r="X18" i="1"/>
  <c r="W18" i="1"/>
  <c r="V18" i="1"/>
  <c r="U18" i="1"/>
  <c r="T18" i="1"/>
  <c r="S18" i="1"/>
  <c r="P18" i="1"/>
  <c r="O18" i="1"/>
  <c r="N18" i="1"/>
  <c r="M18" i="1"/>
  <c r="L18" i="1"/>
  <c r="K18" i="1"/>
  <c r="H18" i="1"/>
  <c r="G18" i="1"/>
  <c r="F18" i="1"/>
  <c r="E18" i="1"/>
  <c r="D18" i="1"/>
  <c r="C18" i="1"/>
  <c r="X9" i="1"/>
  <c r="V9" i="1"/>
  <c r="T9" i="1"/>
  <c r="P9" i="1"/>
  <c r="N9" i="1"/>
  <c r="L9" i="1"/>
  <c r="H9" i="1"/>
  <c r="F9" i="1"/>
  <c r="W9" i="1"/>
  <c r="U9" i="1"/>
  <c r="S9" i="1"/>
  <c r="O9" i="1"/>
  <c r="M9" i="1"/>
  <c r="K9" i="1"/>
  <c r="G9" i="1"/>
  <c r="E9" i="1"/>
  <c r="D9" i="1"/>
  <c r="C9" i="1"/>
</calcChain>
</file>

<file path=xl/sharedStrings.xml><?xml version="1.0" encoding="utf-8"?>
<sst xmlns="http://schemas.openxmlformats.org/spreadsheetml/2006/main" count="147" uniqueCount="37">
  <si>
    <t>N = 20</t>
  </si>
  <si>
    <t>Iteration</t>
  </si>
  <si>
    <t>Best</t>
  </si>
  <si>
    <t>b-step</t>
  </si>
  <si>
    <t>Avg</t>
  </si>
  <si>
    <t>N = 50</t>
  </si>
  <si>
    <t>N = 100</t>
  </si>
  <si>
    <t>Швидкий (ants = 10, iterations = 50)</t>
  </si>
  <si>
    <t>Збалансований (ants = 10, iterations = 100)</t>
  </si>
  <si>
    <t>Збалансований (ants = 25, iterations = 100)</t>
  </si>
  <si>
    <t>Збалансований (ants = 50, iterations = 100)</t>
  </si>
  <si>
    <t>Насичений (ants = 100, iterations = 200)</t>
  </si>
  <si>
    <t>N = 20, start_point = 10</t>
  </si>
  <si>
    <t>N = 50, start_point = 25</t>
  </si>
  <si>
    <t>N = 100, start_point = 50</t>
  </si>
  <si>
    <t>N</t>
  </si>
  <si>
    <t>start_point</t>
  </si>
  <si>
    <t>Сценарій</t>
  </si>
  <si>
    <t>Ants</t>
  </si>
  <si>
    <t>Iterations</t>
  </si>
  <si>
    <t>Best (AVG)</t>
  </si>
  <si>
    <t>b-step (AVG)</t>
  </si>
  <si>
    <t>None</t>
  </si>
  <si>
    <t>Швидкий</t>
  </si>
  <si>
    <t>Збалансований</t>
  </si>
  <si>
    <t>Насичений</t>
  </si>
  <si>
    <t>H</t>
  </si>
  <si>
    <t>P</t>
  </si>
  <si>
    <t>Max age H</t>
  </si>
  <si>
    <t>Max age P</t>
  </si>
  <si>
    <t>1-1 N=10; P=0; NP=0; H=3; P=20; I=20</t>
  </si>
  <si>
    <t>1-2 N=16; P=120; NP=3; H=1; P=0; I=20</t>
  </si>
  <si>
    <t>2 N=64; P=1500; NP=0; H=120; P=120; I=60</t>
  </si>
  <si>
    <t>Reprod P</t>
  </si>
  <si>
    <t>Reprod H</t>
  </si>
  <si>
    <t>3 N=64; P=2200; NP=1; H=180; P=45; I=100</t>
  </si>
  <si>
    <t>4 N=64; P=2200; NP=0; H=200; P=400; I=60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</si>
</sst>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1" xfId="0" applyBorder="1" applyAlignment="1">
      <alignment horizontal="center"/>
    </xf>
    <xf numFmtId="0" fontId="0" fillId="0" borderId="13" xfId="0" applyBorder="1"/>
    <xf numFmtId="0" fontId="0" fillId="0" borderId="4" xfId="0" applyBorder="1"/>
    <xf numFmtId="0" fontId="0" fillId="0" borderId="4" xfId="0" applyBorder="1" applyAlignment="1">
      <alignment horizontal="right"/>
    </xf>
    <xf numFmtId="0" fontId="0" fillId="0" borderId="0" xfId="0" applyAlignment="1">
      <alignment wrapText="1"/>
    </xf>
    <xf numFmtId="0" fontId="0" fillId="0" borderId="12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8" xfId="0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 wrapText="1"/>
    </xf>
    <xf numFmtId="0" fontId="0" fillId="0" borderId="15" xfId="0" applyFont="1" applyBorder="1" applyAlignment="1">
      <alignment vertical="center" wrapText="1"/>
    </xf>
    <xf numFmtId="0" fontId="0" fillId="0" borderId="16" xfId="0" applyFont="1" applyBorder="1" applyAlignment="1">
      <alignment vertical="center" wrapText="1"/>
    </xf>
    <xf numFmtId="0" fontId="0" fillId="0" borderId="17" xfId="0" applyFont="1" applyBorder="1" applyAlignment="1">
      <alignment vertical="center" wrapText="1"/>
    </xf>
    <xf numFmtId="0" fontId="0" fillId="0" borderId="18" xfId="0" applyFont="1" applyBorder="1" applyAlignment="1">
      <alignment vertical="center" wrapText="1"/>
    </xf>
    <xf numFmtId="0" fontId="0" fillId="0" borderId="26" xfId="0" applyFont="1" applyBorder="1" applyAlignment="1">
      <alignment vertical="center" wrapText="1"/>
    </xf>
    <xf numFmtId="0" fontId="0" fillId="0" borderId="19" xfId="0" applyFont="1" applyBorder="1" applyAlignment="1">
      <alignment horizontal="center" vertical="center" wrapText="1"/>
    </xf>
    <xf numFmtId="0" fontId="0" fillId="0" borderId="20" xfId="0" applyFont="1" applyBorder="1" applyAlignment="1">
      <alignment horizontal="center" vertical="center" wrapText="1"/>
    </xf>
    <xf numFmtId="0" fontId="0" fillId="0" borderId="21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22" xfId="0" applyFont="1" applyBorder="1" applyAlignment="1">
      <alignment horizontal="center" vertical="center" wrapText="1"/>
    </xf>
    <xf numFmtId="0" fontId="0" fillId="0" borderId="23" xfId="0" applyFont="1" applyBorder="1" applyAlignment="1">
      <alignment horizontal="center" vertical="center" wrapText="1"/>
    </xf>
    <xf numFmtId="0" fontId="0" fillId="0" borderId="24" xfId="0" applyFont="1" applyBorder="1" applyAlignment="1">
      <alignment horizontal="center" vertical="center" wrapText="1"/>
    </xf>
    <xf numFmtId="0" fontId="0" fillId="0" borderId="25" xfId="0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29" xfId="0" applyFont="1" applyBorder="1" applyAlignment="1">
      <alignment horizontal="center" vertical="center" wrapText="1"/>
    </xf>
    <xf numFmtId="0" fontId="0" fillId="0" borderId="27" xfId="0" applyFont="1" applyBorder="1" applyAlignment="1">
      <alignment horizontal="center" vertical="center" wrapText="1"/>
    </xf>
    <xf numFmtId="0" fontId="0" fillId="0" borderId="28" xfId="0" applyFont="1" applyBorder="1" applyAlignment="1">
      <alignment horizontal="center" vertical="center" wrapText="1"/>
    </xf>
    <xf numFmtId="0" fontId="0" fillId="0" borderId="3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49" fontId="0" fillId="0" borderId="0" xfId="0" applyNumberFormat="1"/>
    <xf numFmtId="0" fontId="0" fillId="0" borderId="4" xfId="0" applyBorder="1" applyAlignment="1"/>
    <xf numFmtId="0" fontId="0" fillId="0" borderId="14" xfId="0" applyBorder="1" applyAlignment="1">
      <alignment horizontal="center" wrapText="1"/>
    </xf>
    <xf numFmtId="2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X39"/>
  <sheetViews>
    <sheetView workbookViewId="0">
      <selection activeCell="B3" sqref="B3:H9"/>
    </sheetView>
  </sheetViews>
  <sheetFormatPr defaultRowHeight="15" x14ac:dyDescent="0.25"/>
  <sheetData>
    <row r="3" spans="2:24" ht="15.75" thickBot="1" x14ac:dyDescent="0.3">
      <c r="B3" t="s">
        <v>0</v>
      </c>
      <c r="J3" t="s">
        <v>5</v>
      </c>
      <c r="R3" t="s">
        <v>6</v>
      </c>
    </row>
    <row r="4" spans="2:24" ht="48" customHeight="1" thickBot="1" x14ac:dyDescent="0.3">
      <c r="B4" s="41" t="s">
        <v>1</v>
      </c>
      <c r="C4" s="39" t="s">
        <v>7</v>
      </c>
      <c r="D4" s="40"/>
      <c r="E4" s="37" t="s">
        <v>8</v>
      </c>
      <c r="F4" s="40"/>
      <c r="G4" s="37" t="s">
        <v>11</v>
      </c>
      <c r="H4" s="38"/>
      <c r="I4" s="5"/>
      <c r="J4" s="43" t="s">
        <v>1</v>
      </c>
      <c r="K4" s="39" t="s">
        <v>7</v>
      </c>
      <c r="L4" s="40"/>
      <c r="M4" s="37" t="s">
        <v>9</v>
      </c>
      <c r="N4" s="40"/>
      <c r="O4" s="37" t="s">
        <v>11</v>
      </c>
      <c r="P4" s="38"/>
      <c r="Q4" s="5"/>
      <c r="R4" s="43" t="s">
        <v>1</v>
      </c>
      <c r="S4" s="39" t="s">
        <v>7</v>
      </c>
      <c r="T4" s="40"/>
      <c r="U4" s="37" t="s">
        <v>10</v>
      </c>
      <c r="V4" s="40"/>
      <c r="W4" s="37" t="s">
        <v>11</v>
      </c>
      <c r="X4" s="38"/>
    </row>
    <row r="5" spans="2:24" ht="15.75" thickBot="1" x14ac:dyDescent="0.3">
      <c r="B5" s="42"/>
      <c r="C5" s="6" t="s">
        <v>2</v>
      </c>
      <c r="D5" s="7" t="s">
        <v>3</v>
      </c>
      <c r="E5" s="6" t="s">
        <v>2</v>
      </c>
      <c r="F5" s="7" t="s">
        <v>3</v>
      </c>
      <c r="G5" s="6" t="s">
        <v>2</v>
      </c>
      <c r="H5" s="7" t="s">
        <v>3</v>
      </c>
      <c r="I5" s="5"/>
      <c r="J5" s="44"/>
      <c r="K5" s="6" t="s">
        <v>2</v>
      </c>
      <c r="L5" s="7" t="s">
        <v>3</v>
      </c>
      <c r="M5" s="6" t="s">
        <v>2</v>
      </c>
      <c r="N5" s="7" t="s">
        <v>3</v>
      </c>
      <c r="O5" s="6" t="s">
        <v>2</v>
      </c>
      <c r="P5" s="7" t="s">
        <v>3</v>
      </c>
      <c r="Q5" s="5"/>
      <c r="R5" s="44"/>
      <c r="S5" s="6" t="s">
        <v>2</v>
      </c>
      <c r="T5" s="7" t="s">
        <v>3</v>
      </c>
      <c r="U5" s="6" t="s">
        <v>2</v>
      </c>
      <c r="V5" s="7" t="s">
        <v>3</v>
      </c>
      <c r="W5" s="6" t="s">
        <v>2</v>
      </c>
      <c r="X5" s="7" t="s">
        <v>3</v>
      </c>
    </row>
    <row r="6" spans="2:24" ht="15.75" thickBot="1" x14ac:dyDescent="0.3">
      <c r="B6" s="2">
        <v>1</v>
      </c>
      <c r="C6" s="8">
        <v>36.595199999999998</v>
      </c>
      <c r="D6" s="9">
        <v>49</v>
      </c>
      <c r="E6" s="9">
        <v>35.7301</v>
      </c>
      <c r="F6" s="9">
        <v>15</v>
      </c>
      <c r="G6" s="9">
        <v>35.7301</v>
      </c>
      <c r="H6" s="9">
        <v>70</v>
      </c>
      <c r="J6" s="2">
        <v>1</v>
      </c>
      <c r="K6" s="8">
        <v>57.845100000000002</v>
      </c>
      <c r="L6" s="9">
        <v>38</v>
      </c>
      <c r="M6" s="9">
        <v>55.460900000000002</v>
      </c>
      <c r="N6" s="9">
        <v>70</v>
      </c>
      <c r="O6" s="9">
        <v>55.460900000000002</v>
      </c>
      <c r="P6" s="9">
        <v>181</v>
      </c>
      <c r="R6" s="2">
        <v>1</v>
      </c>
      <c r="S6" s="8">
        <v>85.006100000000004</v>
      </c>
      <c r="T6" s="9">
        <v>42</v>
      </c>
      <c r="U6" s="9">
        <v>87.189099999999996</v>
      </c>
      <c r="V6" s="9">
        <v>80</v>
      </c>
      <c r="W6" s="9">
        <v>84.745999999999995</v>
      </c>
      <c r="X6" s="9">
        <v>90</v>
      </c>
    </row>
    <row r="7" spans="2:24" ht="15.75" thickBot="1" x14ac:dyDescent="0.3">
      <c r="B7" s="3">
        <v>2</v>
      </c>
      <c r="C7" s="10">
        <v>35.7301</v>
      </c>
      <c r="D7" s="1">
        <v>12</v>
      </c>
      <c r="E7" s="1">
        <v>35.7301</v>
      </c>
      <c r="F7" s="1">
        <v>59</v>
      </c>
      <c r="G7" s="1">
        <v>35.7301</v>
      </c>
      <c r="H7" s="1">
        <v>49</v>
      </c>
      <c r="J7" s="3">
        <v>2</v>
      </c>
      <c r="K7" s="10">
        <v>55.460900000000002</v>
      </c>
      <c r="L7" s="1">
        <v>47</v>
      </c>
      <c r="M7" s="1">
        <v>56.071599999999997</v>
      </c>
      <c r="N7" s="1">
        <v>54</v>
      </c>
      <c r="O7" s="1">
        <v>55.4206</v>
      </c>
      <c r="P7" s="1">
        <v>18</v>
      </c>
      <c r="R7" s="3">
        <v>2</v>
      </c>
      <c r="S7" s="10">
        <v>88.087800000000001</v>
      </c>
      <c r="T7" s="1">
        <v>29</v>
      </c>
      <c r="U7" s="1">
        <v>87.191800000000001</v>
      </c>
      <c r="V7" s="1">
        <v>100</v>
      </c>
      <c r="W7" s="1">
        <v>84.894199999999998</v>
      </c>
      <c r="X7" s="1">
        <v>80</v>
      </c>
    </row>
    <row r="8" spans="2:24" ht="15.75" thickBot="1" x14ac:dyDescent="0.3">
      <c r="B8" s="2">
        <v>3</v>
      </c>
      <c r="C8" s="10">
        <v>35.7301</v>
      </c>
      <c r="D8" s="1">
        <v>28</v>
      </c>
      <c r="E8" s="1">
        <v>36.412799999999997</v>
      </c>
      <c r="F8" s="1">
        <v>29</v>
      </c>
      <c r="G8" s="1">
        <v>35.7301</v>
      </c>
      <c r="H8" s="1">
        <v>24</v>
      </c>
      <c r="J8" s="2">
        <v>3</v>
      </c>
      <c r="K8" s="10">
        <v>57.043599999999998</v>
      </c>
      <c r="L8" s="1">
        <v>40</v>
      </c>
      <c r="M8" s="1">
        <v>56.203000000000003</v>
      </c>
      <c r="N8" s="1">
        <v>70</v>
      </c>
      <c r="O8" s="1">
        <v>55.460900000000002</v>
      </c>
      <c r="P8" s="1">
        <v>129</v>
      </c>
      <c r="R8" s="2">
        <v>3</v>
      </c>
      <c r="S8" s="10">
        <v>89.811800000000005</v>
      </c>
      <c r="T8" s="1">
        <v>33</v>
      </c>
      <c r="U8" s="1">
        <v>87.709100000000007</v>
      </c>
      <c r="V8" s="1">
        <v>39</v>
      </c>
      <c r="W8" s="1">
        <v>84.906099999999995</v>
      </c>
      <c r="X8" s="1">
        <v>195</v>
      </c>
    </row>
    <row r="9" spans="2:24" ht="15.75" thickBot="1" x14ac:dyDescent="0.3">
      <c r="B9" s="4" t="s">
        <v>4</v>
      </c>
      <c r="C9" s="11">
        <f t="shared" ref="C9:H9" si="0">AVERAGE(C6:C8)</f>
        <v>36.018466666666662</v>
      </c>
      <c r="D9" s="12">
        <f t="shared" si="0"/>
        <v>29.666666666666668</v>
      </c>
      <c r="E9" s="11">
        <f t="shared" si="0"/>
        <v>35.957666666666661</v>
      </c>
      <c r="F9" s="12">
        <f t="shared" si="0"/>
        <v>34.333333333333336</v>
      </c>
      <c r="G9" s="11">
        <f t="shared" si="0"/>
        <v>35.7301</v>
      </c>
      <c r="H9" s="12">
        <f t="shared" si="0"/>
        <v>47.666666666666664</v>
      </c>
      <c r="J9" s="4" t="s">
        <v>4</v>
      </c>
      <c r="K9" s="11">
        <f t="shared" ref="K9:P9" si="1">AVERAGE(K6:K8)</f>
        <v>56.783200000000001</v>
      </c>
      <c r="L9" s="12">
        <f t="shared" si="1"/>
        <v>41.666666666666664</v>
      </c>
      <c r="M9" s="11">
        <f t="shared" si="1"/>
        <v>55.911833333333334</v>
      </c>
      <c r="N9" s="12">
        <f t="shared" si="1"/>
        <v>64.666666666666671</v>
      </c>
      <c r="O9" s="11">
        <f t="shared" si="1"/>
        <v>55.447466666666664</v>
      </c>
      <c r="P9" s="12">
        <f t="shared" si="1"/>
        <v>109.33333333333333</v>
      </c>
      <c r="R9" s="4" t="s">
        <v>4</v>
      </c>
      <c r="S9" s="11">
        <f t="shared" ref="S9:X9" si="2">AVERAGE(S6:S8)</f>
        <v>87.635233333333346</v>
      </c>
      <c r="T9" s="12">
        <f t="shared" si="2"/>
        <v>34.666666666666664</v>
      </c>
      <c r="U9" s="11">
        <f t="shared" si="2"/>
        <v>87.363333333333344</v>
      </c>
      <c r="V9" s="12">
        <f t="shared" si="2"/>
        <v>73</v>
      </c>
      <c r="W9" s="11">
        <f t="shared" si="2"/>
        <v>84.848766666666663</v>
      </c>
      <c r="X9" s="12">
        <f t="shared" si="2"/>
        <v>121.66666666666667</v>
      </c>
    </row>
    <row r="12" spans="2:24" ht="15.75" thickBot="1" x14ac:dyDescent="0.3">
      <c r="B12" t="s">
        <v>12</v>
      </c>
      <c r="J12" t="s">
        <v>13</v>
      </c>
      <c r="R12" t="s">
        <v>14</v>
      </c>
    </row>
    <row r="13" spans="2:24" ht="45.75" customHeight="1" thickBot="1" x14ac:dyDescent="0.3">
      <c r="B13" s="41" t="s">
        <v>1</v>
      </c>
      <c r="C13" s="39" t="s">
        <v>7</v>
      </c>
      <c r="D13" s="40"/>
      <c r="E13" s="37" t="s">
        <v>8</v>
      </c>
      <c r="F13" s="40"/>
      <c r="G13" s="37" t="s">
        <v>11</v>
      </c>
      <c r="H13" s="38"/>
      <c r="I13" s="5"/>
      <c r="J13" s="43" t="s">
        <v>1</v>
      </c>
      <c r="K13" s="39" t="s">
        <v>7</v>
      </c>
      <c r="L13" s="40"/>
      <c r="M13" s="37" t="s">
        <v>9</v>
      </c>
      <c r="N13" s="40"/>
      <c r="O13" s="37" t="s">
        <v>11</v>
      </c>
      <c r="P13" s="38"/>
      <c r="Q13" s="5"/>
      <c r="R13" s="43" t="s">
        <v>1</v>
      </c>
      <c r="S13" s="39" t="s">
        <v>7</v>
      </c>
      <c r="T13" s="40"/>
      <c r="U13" s="37" t="s">
        <v>10</v>
      </c>
      <c r="V13" s="40"/>
      <c r="W13" s="37" t="s">
        <v>11</v>
      </c>
      <c r="X13" s="38"/>
    </row>
    <row r="14" spans="2:24" ht="15.75" thickBot="1" x14ac:dyDescent="0.3">
      <c r="B14" s="42"/>
      <c r="C14" s="6" t="s">
        <v>2</v>
      </c>
      <c r="D14" s="7" t="s">
        <v>3</v>
      </c>
      <c r="E14" s="6" t="s">
        <v>2</v>
      </c>
      <c r="F14" s="7" t="s">
        <v>3</v>
      </c>
      <c r="G14" s="6" t="s">
        <v>2</v>
      </c>
      <c r="H14" s="7" t="s">
        <v>3</v>
      </c>
      <c r="I14" s="5"/>
      <c r="J14" s="44"/>
      <c r="K14" s="6" t="s">
        <v>2</v>
      </c>
      <c r="L14" s="7" t="s">
        <v>3</v>
      </c>
      <c r="M14" s="6" t="s">
        <v>2</v>
      </c>
      <c r="N14" s="7" t="s">
        <v>3</v>
      </c>
      <c r="O14" s="6" t="s">
        <v>2</v>
      </c>
      <c r="P14" s="7" t="s">
        <v>3</v>
      </c>
      <c r="Q14" s="5"/>
      <c r="R14" s="44"/>
      <c r="S14" s="6" t="s">
        <v>2</v>
      </c>
      <c r="T14" s="7" t="s">
        <v>3</v>
      </c>
      <c r="U14" s="6" t="s">
        <v>2</v>
      </c>
      <c r="V14" s="7" t="s">
        <v>3</v>
      </c>
      <c r="W14" s="6" t="s">
        <v>2</v>
      </c>
      <c r="X14" s="7" t="s">
        <v>3</v>
      </c>
    </row>
    <row r="15" spans="2:24" ht="15.75" thickBot="1" x14ac:dyDescent="0.3">
      <c r="B15" s="2">
        <v>1</v>
      </c>
      <c r="C15" s="8">
        <v>36.551400000000001</v>
      </c>
      <c r="D15" s="9">
        <v>11</v>
      </c>
      <c r="E15" s="9">
        <v>37.225200000000001</v>
      </c>
      <c r="F15" s="9">
        <v>53</v>
      </c>
      <c r="G15" s="9">
        <v>35.7301</v>
      </c>
      <c r="H15" s="9">
        <v>49</v>
      </c>
      <c r="J15" s="2">
        <v>1</v>
      </c>
      <c r="K15" s="8">
        <v>57.253100000000003</v>
      </c>
      <c r="L15" s="9">
        <v>20</v>
      </c>
      <c r="M15" s="9">
        <v>56.311700000000002</v>
      </c>
      <c r="N15" s="9">
        <v>31</v>
      </c>
      <c r="O15" s="9">
        <v>56.040799999999997</v>
      </c>
      <c r="P15" s="9">
        <v>57</v>
      </c>
      <c r="R15" s="2">
        <v>1</v>
      </c>
      <c r="S15" s="8">
        <v>91.362799999999993</v>
      </c>
      <c r="T15" s="9">
        <v>42</v>
      </c>
      <c r="U15" s="9">
        <v>86.946600000000004</v>
      </c>
      <c r="V15" s="9">
        <v>44</v>
      </c>
      <c r="W15" s="9">
        <v>86.450999999999993</v>
      </c>
      <c r="X15" s="9">
        <v>106</v>
      </c>
    </row>
    <row r="16" spans="2:24" ht="15.75" thickBot="1" x14ac:dyDescent="0.3">
      <c r="B16" s="3">
        <v>2</v>
      </c>
      <c r="C16" s="10">
        <v>38.631500000000003</v>
      </c>
      <c r="D16" s="1">
        <v>26</v>
      </c>
      <c r="E16" s="1">
        <v>36.617899999999999</v>
      </c>
      <c r="F16" s="1">
        <v>66</v>
      </c>
      <c r="G16" s="1">
        <v>35.7301</v>
      </c>
      <c r="H16" s="1">
        <v>23</v>
      </c>
      <c r="J16" s="3">
        <v>2</v>
      </c>
      <c r="K16" s="10">
        <v>61.758299999999998</v>
      </c>
      <c r="L16" s="1">
        <v>33</v>
      </c>
      <c r="M16" s="1">
        <v>56.311700000000002</v>
      </c>
      <c r="N16" s="1">
        <v>26</v>
      </c>
      <c r="O16" s="1">
        <v>56.573799999999999</v>
      </c>
      <c r="P16" s="1">
        <v>47</v>
      </c>
      <c r="R16" s="3">
        <v>2</v>
      </c>
      <c r="S16" s="10">
        <v>90.4863</v>
      </c>
      <c r="T16" s="1">
        <v>49</v>
      </c>
      <c r="U16" s="1">
        <v>88.377200000000002</v>
      </c>
      <c r="V16" s="1">
        <v>75</v>
      </c>
      <c r="W16" s="1">
        <v>87.194100000000006</v>
      </c>
      <c r="X16" s="1">
        <v>46</v>
      </c>
    </row>
    <row r="17" spans="2:24" ht="15.75" thickBot="1" x14ac:dyDescent="0.3">
      <c r="B17" s="2">
        <v>3</v>
      </c>
      <c r="C17" s="10">
        <v>36.617899999999999</v>
      </c>
      <c r="D17" s="1">
        <v>44</v>
      </c>
      <c r="E17" s="1">
        <v>36.617899999999999</v>
      </c>
      <c r="F17" s="1">
        <v>46</v>
      </c>
      <c r="G17" s="1">
        <v>35.7301</v>
      </c>
      <c r="H17" s="1">
        <v>37</v>
      </c>
      <c r="J17" s="2">
        <v>3</v>
      </c>
      <c r="K17" s="10">
        <v>59.193800000000003</v>
      </c>
      <c r="L17" s="1">
        <v>31</v>
      </c>
      <c r="M17" s="1">
        <v>57.002000000000002</v>
      </c>
      <c r="N17" s="1">
        <v>84</v>
      </c>
      <c r="O17" s="1">
        <v>56.351999999999997</v>
      </c>
      <c r="P17" s="1">
        <v>98</v>
      </c>
      <c r="R17" s="2">
        <v>3</v>
      </c>
      <c r="S17" s="10">
        <v>91.821899999999999</v>
      </c>
      <c r="T17" s="1">
        <v>39</v>
      </c>
      <c r="U17" s="1">
        <v>88.724900000000005</v>
      </c>
      <c r="V17" s="1">
        <v>38</v>
      </c>
      <c r="W17" s="1">
        <v>87.325500000000005</v>
      </c>
      <c r="X17" s="1">
        <v>73</v>
      </c>
    </row>
    <row r="18" spans="2:24" ht="15.75" thickBot="1" x14ac:dyDescent="0.3">
      <c r="B18" s="4" t="s">
        <v>4</v>
      </c>
      <c r="C18" s="11">
        <f t="shared" ref="C18:H18" si="3">AVERAGE(C15:C17)</f>
        <v>37.266933333333334</v>
      </c>
      <c r="D18" s="12">
        <f t="shared" si="3"/>
        <v>27</v>
      </c>
      <c r="E18" s="11">
        <f t="shared" si="3"/>
        <v>36.82033333333333</v>
      </c>
      <c r="F18" s="12">
        <f t="shared" si="3"/>
        <v>55</v>
      </c>
      <c r="G18" s="11">
        <f t="shared" si="3"/>
        <v>35.7301</v>
      </c>
      <c r="H18" s="12">
        <f t="shared" si="3"/>
        <v>36.333333333333336</v>
      </c>
      <c r="J18" s="4" t="s">
        <v>4</v>
      </c>
      <c r="K18" s="11">
        <f t="shared" ref="K18:P18" si="4">AVERAGE(K15:K17)</f>
        <v>59.40173333333334</v>
      </c>
      <c r="L18" s="12">
        <f t="shared" si="4"/>
        <v>28</v>
      </c>
      <c r="M18" s="11">
        <f t="shared" si="4"/>
        <v>56.541800000000002</v>
      </c>
      <c r="N18" s="12">
        <f t="shared" si="4"/>
        <v>47</v>
      </c>
      <c r="O18" s="11">
        <f t="shared" si="4"/>
        <v>56.322200000000002</v>
      </c>
      <c r="P18" s="12">
        <f t="shared" si="4"/>
        <v>67.333333333333329</v>
      </c>
      <c r="R18" s="4" t="s">
        <v>4</v>
      </c>
      <c r="S18" s="11">
        <f t="shared" ref="S18:X18" si="5">AVERAGE(S15:S17)</f>
        <v>91.223666666666659</v>
      </c>
      <c r="T18" s="12">
        <f t="shared" si="5"/>
        <v>43.333333333333336</v>
      </c>
      <c r="U18" s="11">
        <f t="shared" si="5"/>
        <v>88.016233333333332</v>
      </c>
      <c r="V18" s="12">
        <f t="shared" si="5"/>
        <v>52.333333333333336</v>
      </c>
      <c r="W18" s="11">
        <f t="shared" si="5"/>
        <v>86.990200000000002</v>
      </c>
      <c r="X18" s="12">
        <f t="shared" si="5"/>
        <v>75</v>
      </c>
    </row>
    <row r="20" spans="2:24" ht="15.75" thickBot="1" x14ac:dyDescent="0.3"/>
    <row r="21" spans="2:24" ht="30.75" thickBot="1" x14ac:dyDescent="0.3">
      <c r="B21" s="13" t="s">
        <v>15</v>
      </c>
      <c r="C21" s="14" t="s">
        <v>16</v>
      </c>
      <c r="D21" s="15" t="s">
        <v>17</v>
      </c>
      <c r="E21" s="14" t="s">
        <v>18</v>
      </c>
      <c r="F21" s="15" t="s">
        <v>19</v>
      </c>
      <c r="G21" s="14" t="s">
        <v>20</v>
      </c>
      <c r="H21" s="16" t="s">
        <v>21</v>
      </c>
    </row>
    <row r="22" spans="2:24" ht="30" x14ac:dyDescent="0.25">
      <c r="B22" s="17">
        <v>20</v>
      </c>
      <c r="C22" s="22" t="s">
        <v>22</v>
      </c>
      <c r="D22" s="23" t="s">
        <v>23</v>
      </c>
      <c r="E22" s="23">
        <v>10</v>
      </c>
      <c r="F22" s="23">
        <v>50</v>
      </c>
      <c r="G22" s="23">
        <v>36.018500000000003</v>
      </c>
      <c r="H22" s="24">
        <v>30</v>
      </c>
    </row>
    <row r="23" spans="2:24" ht="30" x14ac:dyDescent="0.25">
      <c r="B23" s="18">
        <v>20</v>
      </c>
      <c r="C23" s="25" t="s">
        <v>22</v>
      </c>
      <c r="D23" s="26" t="s">
        <v>24</v>
      </c>
      <c r="E23" s="26">
        <v>10</v>
      </c>
      <c r="F23" s="26">
        <v>100</v>
      </c>
      <c r="G23" s="26">
        <v>35.957700000000003</v>
      </c>
      <c r="H23" s="27">
        <v>32</v>
      </c>
    </row>
    <row r="24" spans="2:24" ht="30.75" thickBot="1" x14ac:dyDescent="0.3">
      <c r="B24" s="19">
        <v>20</v>
      </c>
      <c r="C24" s="28" t="s">
        <v>22</v>
      </c>
      <c r="D24" s="29" t="s">
        <v>25</v>
      </c>
      <c r="E24" s="29">
        <v>100</v>
      </c>
      <c r="F24" s="29">
        <v>200</v>
      </c>
      <c r="G24" s="29">
        <v>35.7301</v>
      </c>
      <c r="H24" s="30">
        <v>48</v>
      </c>
    </row>
    <row r="25" spans="2:24" ht="30" x14ac:dyDescent="0.25">
      <c r="B25" s="20">
        <v>20</v>
      </c>
      <c r="C25" s="31">
        <v>10</v>
      </c>
      <c r="D25" s="32" t="s">
        <v>23</v>
      </c>
      <c r="E25" s="32">
        <v>10</v>
      </c>
      <c r="F25" s="32">
        <v>50</v>
      </c>
      <c r="G25" s="32">
        <v>37.2669</v>
      </c>
      <c r="H25" s="33">
        <v>27</v>
      </c>
    </row>
    <row r="26" spans="2:24" ht="30" x14ac:dyDescent="0.25">
      <c r="B26" s="18">
        <v>20</v>
      </c>
      <c r="C26" s="25">
        <v>10</v>
      </c>
      <c r="D26" s="26" t="s">
        <v>24</v>
      </c>
      <c r="E26" s="26">
        <v>10</v>
      </c>
      <c r="F26" s="26">
        <v>100</v>
      </c>
      <c r="G26" s="26">
        <v>36.820300000000003</v>
      </c>
      <c r="H26" s="27">
        <v>55</v>
      </c>
    </row>
    <row r="27" spans="2:24" ht="30.75" thickBot="1" x14ac:dyDescent="0.3">
      <c r="B27" s="21">
        <v>20</v>
      </c>
      <c r="C27" s="34">
        <v>10</v>
      </c>
      <c r="D27" s="35" t="s">
        <v>25</v>
      </c>
      <c r="E27" s="35">
        <v>100</v>
      </c>
      <c r="F27" s="35">
        <v>200</v>
      </c>
      <c r="G27" s="35">
        <v>35.7301</v>
      </c>
      <c r="H27" s="36">
        <v>63</v>
      </c>
    </row>
    <row r="28" spans="2:24" ht="30" x14ac:dyDescent="0.25">
      <c r="B28" s="17">
        <v>50</v>
      </c>
      <c r="C28" s="22" t="s">
        <v>22</v>
      </c>
      <c r="D28" s="23" t="s">
        <v>23</v>
      </c>
      <c r="E28" s="23">
        <v>10</v>
      </c>
      <c r="F28" s="23">
        <v>50</v>
      </c>
      <c r="G28" s="23">
        <v>56.783200000000001</v>
      </c>
      <c r="H28" s="24">
        <v>42</v>
      </c>
    </row>
    <row r="29" spans="2:24" ht="30" x14ac:dyDescent="0.25">
      <c r="B29" s="18">
        <v>50</v>
      </c>
      <c r="C29" s="25" t="s">
        <v>22</v>
      </c>
      <c r="D29" s="26" t="s">
        <v>24</v>
      </c>
      <c r="E29" s="26">
        <v>25</v>
      </c>
      <c r="F29" s="26">
        <v>100</v>
      </c>
      <c r="G29" s="26">
        <v>55.911799999999999</v>
      </c>
      <c r="H29" s="27">
        <v>65</v>
      </c>
    </row>
    <row r="30" spans="2:24" ht="30.75" thickBot="1" x14ac:dyDescent="0.3">
      <c r="B30" s="19">
        <v>50</v>
      </c>
      <c r="C30" s="28" t="s">
        <v>22</v>
      </c>
      <c r="D30" s="29" t="s">
        <v>25</v>
      </c>
      <c r="E30" s="29">
        <v>100</v>
      </c>
      <c r="F30" s="29">
        <v>200</v>
      </c>
      <c r="G30" s="29">
        <v>55.447499999999998</v>
      </c>
      <c r="H30" s="30">
        <v>109</v>
      </c>
    </row>
    <row r="31" spans="2:24" ht="30" x14ac:dyDescent="0.25">
      <c r="B31" s="20">
        <v>50</v>
      </c>
      <c r="C31" s="31">
        <v>25</v>
      </c>
      <c r="D31" s="32" t="s">
        <v>23</v>
      </c>
      <c r="E31" s="32">
        <v>10</v>
      </c>
      <c r="F31" s="32">
        <v>50</v>
      </c>
      <c r="G31" s="32">
        <v>59.401699999999998</v>
      </c>
      <c r="H31" s="33">
        <v>28</v>
      </c>
    </row>
    <row r="32" spans="2:24" ht="30" x14ac:dyDescent="0.25">
      <c r="B32" s="18">
        <v>50</v>
      </c>
      <c r="C32" s="25">
        <v>25</v>
      </c>
      <c r="D32" s="26" t="s">
        <v>24</v>
      </c>
      <c r="E32" s="26">
        <v>25</v>
      </c>
      <c r="F32" s="26">
        <v>100</v>
      </c>
      <c r="G32" s="26">
        <v>56.541800000000002</v>
      </c>
      <c r="H32" s="27">
        <v>36</v>
      </c>
    </row>
    <row r="33" spans="2:8" ht="30.75" thickBot="1" x14ac:dyDescent="0.3">
      <c r="B33" s="21">
        <v>50</v>
      </c>
      <c r="C33" s="34">
        <v>25</v>
      </c>
      <c r="D33" s="35" t="s">
        <v>25</v>
      </c>
      <c r="E33" s="35">
        <v>100</v>
      </c>
      <c r="F33" s="35">
        <v>200</v>
      </c>
      <c r="G33" s="35">
        <v>56.322200000000002</v>
      </c>
      <c r="H33" s="36">
        <v>82</v>
      </c>
    </row>
    <row r="34" spans="2:8" ht="30" x14ac:dyDescent="0.25">
      <c r="B34" s="17">
        <v>100</v>
      </c>
      <c r="C34" s="22" t="s">
        <v>22</v>
      </c>
      <c r="D34" s="23" t="s">
        <v>23</v>
      </c>
      <c r="E34" s="23">
        <v>10</v>
      </c>
      <c r="F34" s="23">
        <v>50</v>
      </c>
      <c r="G34" s="23">
        <v>87.653199999999998</v>
      </c>
      <c r="H34" s="24">
        <v>35</v>
      </c>
    </row>
    <row r="35" spans="2:8" ht="30" x14ac:dyDescent="0.25">
      <c r="B35" s="18">
        <v>100</v>
      </c>
      <c r="C35" s="25" t="s">
        <v>22</v>
      </c>
      <c r="D35" s="26" t="s">
        <v>24</v>
      </c>
      <c r="E35" s="26">
        <v>50</v>
      </c>
      <c r="F35" s="26">
        <v>100</v>
      </c>
      <c r="G35" s="26">
        <v>87.363299999999995</v>
      </c>
      <c r="H35" s="27">
        <v>73</v>
      </c>
    </row>
    <row r="36" spans="2:8" ht="30.75" thickBot="1" x14ac:dyDescent="0.3">
      <c r="B36" s="19">
        <v>100</v>
      </c>
      <c r="C36" s="28" t="s">
        <v>22</v>
      </c>
      <c r="D36" s="29" t="s">
        <v>25</v>
      </c>
      <c r="E36" s="29">
        <v>100</v>
      </c>
      <c r="F36" s="29">
        <v>200</v>
      </c>
      <c r="G36" s="29">
        <v>84.848799999999997</v>
      </c>
      <c r="H36" s="30">
        <v>122</v>
      </c>
    </row>
    <row r="37" spans="2:8" ht="30" x14ac:dyDescent="0.25">
      <c r="B37" s="17">
        <v>100</v>
      </c>
      <c r="C37" s="22">
        <v>50</v>
      </c>
      <c r="D37" s="23" t="s">
        <v>23</v>
      </c>
      <c r="E37" s="23">
        <v>10</v>
      </c>
      <c r="F37" s="23">
        <v>50</v>
      </c>
      <c r="G37" s="23">
        <v>91.223699999999994</v>
      </c>
      <c r="H37" s="24">
        <v>43</v>
      </c>
    </row>
    <row r="38" spans="2:8" ht="30" x14ac:dyDescent="0.25">
      <c r="B38" s="18">
        <v>100</v>
      </c>
      <c r="C38" s="25">
        <v>50</v>
      </c>
      <c r="D38" s="26" t="s">
        <v>24</v>
      </c>
      <c r="E38" s="26">
        <v>50</v>
      </c>
      <c r="F38" s="26">
        <v>100</v>
      </c>
      <c r="G38" s="26">
        <v>88.061199999999999</v>
      </c>
      <c r="H38" s="27">
        <v>52</v>
      </c>
    </row>
    <row r="39" spans="2:8" ht="30.75" thickBot="1" x14ac:dyDescent="0.3">
      <c r="B39" s="19">
        <v>100</v>
      </c>
      <c r="C39" s="28">
        <v>50</v>
      </c>
      <c r="D39" s="29" t="s">
        <v>25</v>
      </c>
      <c r="E39" s="29">
        <v>100</v>
      </c>
      <c r="F39" s="29">
        <v>200</v>
      </c>
      <c r="G39" s="29">
        <v>86.990200000000002</v>
      </c>
      <c r="H39" s="30">
        <v>75</v>
      </c>
    </row>
  </sheetData>
  <mergeCells count="24">
    <mergeCell ref="W13:X13"/>
    <mergeCell ref="B13:B14"/>
    <mergeCell ref="C13:D13"/>
    <mergeCell ref="E13:F13"/>
    <mergeCell ref="G13:H13"/>
    <mergeCell ref="J13:J14"/>
    <mergeCell ref="K13:L13"/>
    <mergeCell ref="M13:N13"/>
    <mergeCell ref="O13:P13"/>
    <mergeCell ref="R13:R14"/>
    <mergeCell ref="S13:T13"/>
    <mergeCell ref="U13:V13"/>
    <mergeCell ref="W4:X4"/>
    <mergeCell ref="C4:D4"/>
    <mergeCell ref="E4:F4"/>
    <mergeCell ref="G4:H4"/>
    <mergeCell ref="B4:B5"/>
    <mergeCell ref="J4:J5"/>
    <mergeCell ref="K4:L4"/>
    <mergeCell ref="M4:N4"/>
    <mergeCell ref="O4:P4"/>
    <mergeCell ref="R4:R5"/>
    <mergeCell ref="S4:T4"/>
    <mergeCell ref="U4:V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3422C-E459-42F8-9ECB-2819CD898AA3}">
  <dimension ref="B3:N37"/>
  <sheetViews>
    <sheetView tabSelected="1" workbookViewId="0">
      <selection activeCell="W10" sqref="W10"/>
    </sheetView>
  </sheetViews>
  <sheetFormatPr defaultRowHeight="15" x14ac:dyDescent="0.25"/>
  <cols>
    <col min="5" max="5" width="10.42578125" customWidth="1"/>
    <col min="6" max="6" width="11.28515625" customWidth="1"/>
    <col min="11" max="11" width="10.7109375" customWidth="1"/>
    <col min="12" max="12" width="10.140625" customWidth="1"/>
  </cols>
  <sheetData>
    <row r="3" spans="2:14" ht="15" customHeight="1" thickBot="1" x14ac:dyDescent="0.3">
      <c r="B3" s="45" t="s">
        <v>30</v>
      </c>
      <c r="J3" s="45" t="s">
        <v>31</v>
      </c>
    </row>
    <row r="4" spans="2:14" ht="15" customHeight="1" thickBot="1" x14ac:dyDescent="0.3">
      <c r="B4" s="46" t="s">
        <v>1</v>
      </c>
      <c r="C4" s="47" t="s">
        <v>26</v>
      </c>
      <c r="D4" s="7" t="s">
        <v>27</v>
      </c>
      <c r="E4" s="47" t="s">
        <v>28</v>
      </c>
      <c r="F4" s="7" t="s">
        <v>29</v>
      </c>
      <c r="J4" s="46" t="s">
        <v>1</v>
      </c>
      <c r="K4" s="47" t="s">
        <v>26</v>
      </c>
      <c r="L4" s="7" t="s">
        <v>27</v>
      </c>
      <c r="M4" s="47" t="s">
        <v>28</v>
      </c>
      <c r="N4" s="7" t="s">
        <v>29</v>
      </c>
    </row>
    <row r="5" spans="2:14" ht="15.75" thickBot="1" x14ac:dyDescent="0.3">
      <c r="B5" s="2">
        <v>1</v>
      </c>
      <c r="C5" s="8">
        <v>0</v>
      </c>
      <c r="D5" s="9">
        <v>20</v>
      </c>
      <c r="E5" s="9">
        <v>3</v>
      </c>
      <c r="F5" s="9">
        <v>20</v>
      </c>
      <c r="J5" s="2">
        <v>1</v>
      </c>
      <c r="K5" s="8">
        <v>6</v>
      </c>
      <c r="L5" s="9">
        <v>0</v>
      </c>
      <c r="M5" s="9">
        <v>20</v>
      </c>
      <c r="N5" s="9">
        <v>0</v>
      </c>
    </row>
    <row r="6" spans="2:14" ht="15.75" thickBot="1" x14ac:dyDescent="0.3">
      <c r="B6" s="3">
        <v>2</v>
      </c>
      <c r="C6" s="10">
        <v>0</v>
      </c>
      <c r="D6" s="1">
        <v>20</v>
      </c>
      <c r="E6" s="1">
        <v>2</v>
      </c>
      <c r="F6" s="1">
        <v>20</v>
      </c>
      <c r="J6" s="3">
        <v>2</v>
      </c>
      <c r="K6" s="10">
        <v>9</v>
      </c>
      <c r="L6" s="1">
        <v>0</v>
      </c>
      <c r="M6" s="1">
        <v>20</v>
      </c>
      <c r="N6" s="1">
        <v>0</v>
      </c>
    </row>
    <row r="7" spans="2:14" ht="15.75" thickBot="1" x14ac:dyDescent="0.3">
      <c r="B7" s="2">
        <v>3</v>
      </c>
      <c r="C7" s="10">
        <v>0</v>
      </c>
      <c r="D7" s="1">
        <v>20</v>
      </c>
      <c r="E7" s="1">
        <v>2</v>
      </c>
      <c r="F7" s="1">
        <v>20</v>
      </c>
      <c r="J7" s="2">
        <v>3</v>
      </c>
      <c r="K7" s="10">
        <v>8</v>
      </c>
      <c r="L7" s="1">
        <v>0</v>
      </c>
      <c r="M7" s="1">
        <v>20</v>
      </c>
      <c r="N7" s="1">
        <v>0</v>
      </c>
    </row>
    <row r="8" spans="2:14" ht="15.75" thickBot="1" x14ac:dyDescent="0.3">
      <c r="B8" s="3">
        <v>4</v>
      </c>
      <c r="C8" s="10">
        <v>0</v>
      </c>
      <c r="D8" s="1">
        <v>20</v>
      </c>
      <c r="E8" s="1">
        <v>1</v>
      </c>
      <c r="F8" s="1">
        <v>20</v>
      </c>
      <c r="J8" s="3">
        <v>4</v>
      </c>
      <c r="K8" s="10">
        <v>8</v>
      </c>
      <c r="L8" s="1">
        <v>0</v>
      </c>
      <c r="M8" s="1">
        <v>20</v>
      </c>
      <c r="N8" s="1">
        <v>0</v>
      </c>
    </row>
    <row r="9" spans="2:14" ht="15.75" thickBot="1" x14ac:dyDescent="0.3">
      <c r="B9" s="2">
        <v>5</v>
      </c>
      <c r="C9" s="10">
        <v>0</v>
      </c>
      <c r="D9" s="1">
        <v>20</v>
      </c>
      <c r="E9" s="1">
        <v>3</v>
      </c>
      <c r="F9" s="1">
        <v>20</v>
      </c>
      <c r="J9" s="2">
        <v>5</v>
      </c>
      <c r="K9" s="10">
        <v>5</v>
      </c>
      <c r="L9" s="1">
        <v>0</v>
      </c>
      <c r="M9" s="1">
        <v>20</v>
      </c>
      <c r="N9" s="1">
        <v>0</v>
      </c>
    </row>
    <row r="10" spans="2:14" ht="15.75" thickBot="1" x14ac:dyDescent="0.3">
      <c r="B10" s="4" t="s">
        <v>4</v>
      </c>
      <c r="C10" s="48">
        <f>AVERAGE(C5:C9)</f>
        <v>0</v>
      </c>
      <c r="D10" s="48">
        <f>AVERAGE(D5:D9)</f>
        <v>20</v>
      </c>
      <c r="E10" s="48">
        <f t="shared" ref="C10:F10" si="0">AVERAGE(E5:E9)</f>
        <v>2.2000000000000002</v>
      </c>
      <c r="F10" s="48">
        <f t="shared" si="0"/>
        <v>20</v>
      </c>
      <c r="J10" s="4" t="s">
        <v>4</v>
      </c>
      <c r="K10" s="48">
        <f>AVERAGE(K5:K9)</f>
        <v>7.2</v>
      </c>
      <c r="L10" s="48">
        <f t="shared" ref="L10:N10" si="1">AVERAGE(L5:L9)</f>
        <v>0</v>
      </c>
      <c r="M10" s="48">
        <f t="shared" si="1"/>
        <v>20</v>
      </c>
      <c r="N10" s="48">
        <f t="shared" si="1"/>
        <v>0</v>
      </c>
    </row>
    <row r="12" spans="2:14" ht="15.75" thickBot="1" x14ac:dyDescent="0.3">
      <c r="B12" s="45" t="s">
        <v>32</v>
      </c>
    </row>
    <row r="13" spans="2:14" ht="15.75" thickBot="1" x14ac:dyDescent="0.3">
      <c r="B13" s="46" t="s">
        <v>1</v>
      </c>
      <c r="C13" s="47" t="s">
        <v>26</v>
      </c>
      <c r="D13" s="7" t="s">
        <v>27</v>
      </c>
      <c r="E13" s="47" t="s">
        <v>28</v>
      </c>
      <c r="F13" s="7" t="s">
        <v>29</v>
      </c>
      <c r="G13" s="7" t="s">
        <v>34</v>
      </c>
      <c r="H13" s="7" t="s">
        <v>33</v>
      </c>
    </row>
    <row r="14" spans="2:14" ht="15.75" thickBot="1" x14ac:dyDescent="0.3">
      <c r="B14" s="2">
        <v>1</v>
      </c>
      <c r="C14" s="8">
        <v>6</v>
      </c>
      <c r="D14" s="9">
        <v>58</v>
      </c>
      <c r="E14" s="9">
        <v>60</v>
      </c>
      <c r="F14" s="9">
        <v>60</v>
      </c>
      <c r="G14" s="9">
        <v>84</v>
      </c>
      <c r="H14" s="9">
        <v>6</v>
      </c>
    </row>
    <row r="15" spans="2:14" ht="15.75" thickBot="1" x14ac:dyDescent="0.3">
      <c r="B15" s="3">
        <v>2</v>
      </c>
      <c r="C15" s="10">
        <v>9</v>
      </c>
      <c r="D15" s="1">
        <v>63</v>
      </c>
      <c r="E15" s="1">
        <v>60</v>
      </c>
      <c r="F15" s="1">
        <v>60</v>
      </c>
      <c r="G15" s="1">
        <v>94</v>
      </c>
      <c r="H15" s="1">
        <v>8</v>
      </c>
    </row>
    <row r="16" spans="2:14" ht="15.75" thickBot="1" x14ac:dyDescent="0.3">
      <c r="B16" s="2">
        <v>3</v>
      </c>
      <c r="C16" s="10">
        <v>3</v>
      </c>
      <c r="D16" s="1">
        <v>58</v>
      </c>
      <c r="E16" s="1">
        <v>60</v>
      </c>
      <c r="F16" s="1">
        <v>60</v>
      </c>
      <c r="G16" s="1">
        <v>90</v>
      </c>
      <c r="H16" s="1">
        <v>9</v>
      </c>
    </row>
    <row r="17" spans="2:8" ht="15.75" thickBot="1" x14ac:dyDescent="0.3">
      <c r="B17" s="3">
        <v>4</v>
      </c>
      <c r="C17" s="10">
        <v>4</v>
      </c>
      <c r="D17" s="1">
        <v>62</v>
      </c>
      <c r="E17" s="1">
        <v>60</v>
      </c>
      <c r="F17" s="1">
        <v>60</v>
      </c>
      <c r="G17" s="1">
        <v>94</v>
      </c>
      <c r="H17" s="1">
        <v>12</v>
      </c>
    </row>
    <row r="18" spans="2:8" ht="15.75" thickBot="1" x14ac:dyDescent="0.3">
      <c r="B18" s="2">
        <v>5</v>
      </c>
      <c r="C18" s="10">
        <v>3</v>
      </c>
      <c r="D18" s="1">
        <v>67</v>
      </c>
      <c r="E18" s="1">
        <v>60</v>
      </c>
      <c r="F18" s="1">
        <v>60</v>
      </c>
      <c r="G18" s="1">
        <v>99</v>
      </c>
      <c r="H18" s="1">
        <v>7</v>
      </c>
    </row>
    <row r="19" spans="2:8" ht="15.75" thickBot="1" x14ac:dyDescent="0.3">
      <c r="B19" s="4" t="s">
        <v>4</v>
      </c>
      <c r="C19" s="48">
        <f>AVERAGE(C14:C18)</f>
        <v>5</v>
      </c>
      <c r="D19" s="48">
        <f t="shared" ref="D19:H19" si="2">AVERAGE(D14:D18)</f>
        <v>61.6</v>
      </c>
      <c r="E19" s="48">
        <f t="shared" si="2"/>
        <v>60</v>
      </c>
      <c r="F19" s="48">
        <f t="shared" si="2"/>
        <v>60</v>
      </c>
      <c r="G19" s="48">
        <f t="shared" si="2"/>
        <v>92.2</v>
      </c>
      <c r="H19" s="48">
        <f t="shared" si="2"/>
        <v>8.4</v>
      </c>
    </row>
    <row r="21" spans="2:8" ht="15.75" thickBot="1" x14ac:dyDescent="0.3">
      <c r="B21" s="45" t="s">
        <v>35</v>
      </c>
    </row>
    <row r="22" spans="2:8" ht="15.75" thickBot="1" x14ac:dyDescent="0.3">
      <c r="B22" s="46" t="s">
        <v>1</v>
      </c>
      <c r="C22" s="47" t="s">
        <v>26</v>
      </c>
      <c r="D22" s="7" t="s">
        <v>27</v>
      </c>
      <c r="E22" s="47" t="s">
        <v>28</v>
      </c>
      <c r="F22" s="7" t="s">
        <v>29</v>
      </c>
      <c r="G22" s="7" t="s">
        <v>34</v>
      </c>
      <c r="H22" s="7" t="s">
        <v>33</v>
      </c>
    </row>
    <row r="23" spans="2:8" ht="15.75" thickBot="1" x14ac:dyDescent="0.3">
      <c r="B23" s="2">
        <v>1</v>
      </c>
      <c r="C23" s="8">
        <v>0</v>
      </c>
      <c r="D23" s="9">
        <v>752</v>
      </c>
      <c r="E23" s="9">
        <v>74</v>
      </c>
      <c r="F23" s="9">
        <v>100</v>
      </c>
      <c r="G23" s="9">
        <v>3893</v>
      </c>
      <c r="H23" s="9">
        <v>1010</v>
      </c>
    </row>
    <row r="24" spans="2:8" ht="15.75" thickBot="1" x14ac:dyDescent="0.3">
      <c r="B24" s="3">
        <v>2</v>
      </c>
      <c r="C24" s="10">
        <v>0</v>
      </c>
      <c r="D24" s="1">
        <v>863</v>
      </c>
      <c r="E24" s="1">
        <v>67</v>
      </c>
      <c r="F24" s="1">
        <v>100</v>
      </c>
      <c r="G24" s="1">
        <v>4272</v>
      </c>
      <c r="H24" s="1">
        <v>1108</v>
      </c>
    </row>
    <row r="25" spans="2:8" ht="15.75" thickBot="1" x14ac:dyDescent="0.3">
      <c r="B25" s="2">
        <v>3</v>
      </c>
      <c r="C25" s="10">
        <v>0</v>
      </c>
      <c r="D25" s="1">
        <v>788</v>
      </c>
      <c r="E25" s="1">
        <v>81</v>
      </c>
      <c r="F25" s="1">
        <v>100</v>
      </c>
      <c r="G25" s="1">
        <v>4079</v>
      </c>
      <c r="H25" s="1">
        <v>1070</v>
      </c>
    </row>
    <row r="26" spans="2:8" ht="15.75" thickBot="1" x14ac:dyDescent="0.3">
      <c r="B26" s="3">
        <v>4</v>
      </c>
      <c r="C26" s="10">
        <v>0</v>
      </c>
      <c r="D26" s="1">
        <v>774</v>
      </c>
      <c r="E26" s="1">
        <v>70</v>
      </c>
      <c r="F26" s="1">
        <v>100</v>
      </c>
      <c r="G26" s="1">
        <v>4008</v>
      </c>
      <c r="H26" s="1">
        <v>1045</v>
      </c>
    </row>
    <row r="27" spans="2:8" ht="15.75" thickBot="1" x14ac:dyDescent="0.3">
      <c r="B27" s="2">
        <v>5</v>
      </c>
      <c r="C27" s="10">
        <v>0</v>
      </c>
      <c r="D27" s="1">
        <v>800</v>
      </c>
      <c r="E27" s="1">
        <v>71</v>
      </c>
      <c r="F27" s="1">
        <v>100</v>
      </c>
      <c r="G27" s="1">
        <v>4112</v>
      </c>
      <c r="H27" s="1">
        <v>1071</v>
      </c>
    </row>
    <row r="28" spans="2:8" ht="15.75" thickBot="1" x14ac:dyDescent="0.3">
      <c r="B28" s="4" t="s">
        <v>4</v>
      </c>
      <c r="C28" s="48">
        <f>AVERAGE(C23:C27)</f>
        <v>0</v>
      </c>
      <c r="D28" s="48">
        <f t="shared" ref="D28:H28" si="3">AVERAGE(D23:D27)</f>
        <v>795.4</v>
      </c>
      <c r="E28" s="48">
        <f t="shared" si="3"/>
        <v>72.599999999999994</v>
      </c>
      <c r="F28" s="48">
        <f t="shared" si="3"/>
        <v>100</v>
      </c>
      <c r="G28" s="48">
        <f t="shared" si="3"/>
        <v>4072.8</v>
      </c>
      <c r="H28" s="48">
        <f t="shared" si="3"/>
        <v>1060.8</v>
      </c>
    </row>
    <row r="30" spans="2:8" ht="15.75" thickBot="1" x14ac:dyDescent="0.3">
      <c r="B30" s="45" t="s">
        <v>36</v>
      </c>
    </row>
    <row r="31" spans="2:8" ht="15.75" thickBot="1" x14ac:dyDescent="0.3">
      <c r="B31" s="46" t="s">
        <v>1</v>
      </c>
      <c r="C31" s="47" t="s">
        <v>26</v>
      </c>
      <c r="D31" s="7" t="s">
        <v>27</v>
      </c>
      <c r="E31" s="47" t="s">
        <v>28</v>
      </c>
      <c r="F31" s="7" t="s">
        <v>29</v>
      </c>
      <c r="G31" s="7" t="s">
        <v>34</v>
      </c>
      <c r="H31" s="7" t="s">
        <v>33</v>
      </c>
    </row>
    <row r="32" spans="2:8" ht="15.75" thickBot="1" x14ac:dyDescent="0.3">
      <c r="B32" s="2">
        <v>1</v>
      </c>
      <c r="C32" s="8">
        <v>0</v>
      </c>
      <c r="D32" s="9">
        <v>64</v>
      </c>
      <c r="E32" s="9">
        <v>22</v>
      </c>
      <c r="F32" s="9">
        <v>60</v>
      </c>
      <c r="G32" s="9">
        <v>106</v>
      </c>
      <c r="H32" s="9">
        <v>17</v>
      </c>
    </row>
    <row r="33" spans="2:8" ht="15.75" thickBot="1" x14ac:dyDescent="0.3">
      <c r="B33" s="3">
        <v>2</v>
      </c>
      <c r="C33" s="10">
        <v>0</v>
      </c>
      <c r="D33" s="1">
        <v>76</v>
      </c>
      <c r="E33" s="1">
        <v>22</v>
      </c>
      <c r="F33" s="1">
        <v>60</v>
      </c>
      <c r="G33" s="1">
        <v>115</v>
      </c>
      <c r="H33" s="1">
        <v>9</v>
      </c>
    </row>
    <row r="34" spans="2:8" ht="15.75" thickBot="1" x14ac:dyDescent="0.3">
      <c r="B34" s="2">
        <v>3</v>
      </c>
      <c r="C34" s="10">
        <v>0</v>
      </c>
      <c r="D34" s="1">
        <v>69</v>
      </c>
      <c r="E34" s="1">
        <v>31</v>
      </c>
      <c r="F34" s="1">
        <v>60</v>
      </c>
      <c r="G34" s="1">
        <v>106</v>
      </c>
      <c r="H34" s="1">
        <v>13</v>
      </c>
    </row>
    <row r="35" spans="2:8" ht="15.75" thickBot="1" x14ac:dyDescent="0.3">
      <c r="B35" s="3">
        <v>4</v>
      </c>
      <c r="C35" s="10">
        <v>0</v>
      </c>
      <c r="D35" s="1">
        <v>54</v>
      </c>
      <c r="E35" s="1">
        <v>24</v>
      </c>
      <c r="F35" s="1">
        <v>60</v>
      </c>
      <c r="G35" s="1">
        <v>103</v>
      </c>
      <c r="H35" s="1">
        <v>13</v>
      </c>
    </row>
    <row r="36" spans="2:8" ht="15.75" thickBot="1" x14ac:dyDescent="0.3">
      <c r="B36" s="2">
        <v>5</v>
      </c>
      <c r="C36" s="10">
        <v>0</v>
      </c>
      <c r="D36" s="1">
        <v>58</v>
      </c>
      <c r="E36" s="1">
        <v>22</v>
      </c>
      <c r="F36" s="1">
        <v>60</v>
      </c>
      <c r="G36" s="1">
        <v>112</v>
      </c>
      <c r="H36" s="1">
        <v>14</v>
      </c>
    </row>
    <row r="37" spans="2:8" ht="15.75" thickBot="1" x14ac:dyDescent="0.3">
      <c r="B37" s="4" t="s">
        <v>4</v>
      </c>
      <c r="C37" s="48">
        <f>AVERAGE(C32:C36)</f>
        <v>0</v>
      </c>
      <c r="D37" s="48">
        <f t="shared" ref="D37:H37" si="4">AVERAGE(D32:D36)</f>
        <v>64.2</v>
      </c>
      <c r="E37" s="48">
        <f t="shared" si="4"/>
        <v>24.2</v>
      </c>
      <c r="F37" s="48">
        <f t="shared" si="4"/>
        <v>60</v>
      </c>
      <c r="G37" s="48">
        <f t="shared" si="4"/>
        <v>108.4</v>
      </c>
      <c r="H37" s="48">
        <f t="shared" si="4"/>
        <v>13.2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Lab1</vt:lpstr>
      <vt:lpstr>Lab2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Jok</dc:creator>
  <cp:lastModifiedBy>Данил Новиков</cp:lastModifiedBy>
  <dcterms:created xsi:type="dcterms:W3CDTF">2015-06-05T18:17:20Z</dcterms:created>
  <dcterms:modified xsi:type="dcterms:W3CDTF">2025-10-19T15:48:53Z</dcterms:modified>
</cp:coreProperties>
</file>