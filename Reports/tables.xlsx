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V:\Winda_BB_2025\SSD_backup\Univer\Sharaga 15 Term\СУЧАСНІ КОНЦЕПЦІЇ СТВОРЕННЯ ІНТЕЛЕКТУАЛЬНИХ ІНФОРМАЦІЙНИХ СИСТЕМ\Reports\"/>
    </mc:Choice>
  </mc:AlternateContent>
  <xr:revisionPtr revIDLastSave="0" documentId="13_ncr:1_{B0A8E9D7-D7A1-44C2-A105-CC77D26E1986}" xr6:coauthVersionLast="47" xr6:coauthVersionMax="47" xr10:uidLastSave="{00000000-0000-0000-0000-000000000000}"/>
  <bookViews>
    <workbookView xWindow="-35505" yWindow="2895" windowWidth="28800" windowHeight="15345" xr2:uid="{00000000-000D-0000-FFFF-FFFF00000000}"/>
  </bookViews>
  <sheets>
    <sheet name="Lab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" i="1" l="1"/>
  <c r="X18" i="1"/>
  <c r="W18" i="1"/>
  <c r="V18" i="1"/>
  <c r="U18" i="1"/>
  <c r="T18" i="1"/>
  <c r="S18" i="1"/>
  <c r="P18" i="1"/>
  <c r="O18" i="1"/>
  <c r="N18" i="1"/>
  <c r="M18" i="1"/>
  <c r="L18" i="1"/>
  <c r="K18" i="1"/>
  <c r="H18" i="1"/>
  <c r="G18" i="1"/>
  <c r="F18" i="1"/>
  <c r="E18" i="1"/>
  <c r="D18" i="1"/>
  <c r="C18" i="1"/>
  <c r="X9" i="1"/>
  <c r="V9" i="1"/>
  <c r="T9" i="1"/>
  <c r="P9" i="1"/>
  <c r="N9" i="1"/>
  <c r="L9" i="1"/>
  <c r="H9" i="1"/>
  <c r="F9" i="1"/>
  <c r="W9" i="1"/>
  <c r="U9" i="1"/>
  <c r="S9" i="1"/>
  <c r="O9" i="1"/>
  <c r="M9" i="1"/>
  <c r="K9" i="1"/>
  <c r="G9" i="1"/>
  <c r="E9" i="1"/>
  <c r="D9" i="1"/>
  <c r="C9" i="1"/>
</calcChain>
</file>

<file path=xl/sharedStrings.xml><?xml version="1.0" encoding="utf-8"?>
<sst xmlns="http://schemas.openxmlformats.org/spreadsheetml/2006/main" count="106" uniqueCount="26">
  <si>
    <t>N = 20</t>
  </si>
  <si>
    <t>Iteration</t>
  </si>
  <si>
    <t>Best</t>
  </si>
  <si>
    <t>b-step</t>
  </si>
  <si>
    <t>Avg</t>
  </si>
  <si>
    <t>N = 50</t>
  </si>
  <si>
    <t>N = 100</t>
  </si>
  <si>
    <t>Швидкий (ants = 10, iterations = 50)</t>
  </si>
  <si>
    <t>Збалансований (ants = 10, iterations = 100)</t>
  </si>
  <si>
    <t>Збалансований (ants = 25, iterations = 100)</t>
  </si>
  <si>
    <t>Збалансований (ants = 50, iterations = 100)</t>
  </si>
  <si>
    <t>Насичений (ants = 100, iterations = 200)</t>
  </si>
  <si>
    <t>N = 20, start_point = 10</t>
  </si>
  <si>
    <t>N = 50, start_point = 25</t>
  </si>
  <si>
    <t>N = 100, start_point = 50</t>
  </si>
  <si>
    <t>N</t>
  </si>
  <si>
    <t>start_point</t>
  </si>
  <si>
    <t>Сценарій</t>
  </si>
  <si>
    <t>Ants</t>
  </si>
  <si>
    <t>Iterations</t>
  </si>
  <si>
    <t>Best (AVG)</t>
  </si>
  <si>
    <t>b-step (AVG)</t>
  </si>
  <si>
    <t>None</t>
  </si>
  <si>
    <t>Швидкий</t>
  </si>
  <si>
    <t>Збалансований</t>
  </si>
  <si>
    <t>Насичений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</si>
</sst>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0" xfId="0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5" xfId="0" applyFont="1" applyBorder="1" applyAlignment="1">
      <alignment vertical="center" wrapText="1"/>
    </xf>
    <xf numFmtId="0" fontId="0" fillId="0" borderId="16" xfId="0" applyFont="1" applyBorder="1" applyAlignment="1">
      <alignment vertical="center" wrapText="1"/>
    </xf>
    <xf numFmtId="0" fontId="0" fillId="0" borderId="17" xfId="0" applyFont="1" applyBorder="1" applyAlignment="1">
      <alignment vertical="center" wrapText="1"/>
    </xf>
    <xf numFmtId="0" fontId="0" fillId="0" borderId="18" xfId="0" applyFont="1" applyBorder="1" applyAlignment="1">
      <alignment vertical="center" wrapText="1"/>
    </xf>
    <xf numFmtId="0" fontId="0" fillId="0" borderId="26" xfId="0" applyFont="1" applyBorder="1" applyAlignment="1">
      <alignment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27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X39"/>
  <sheetViews>
    <sheetView tabSelected="1" topLeftCell="A13" workbookViewId="0">
      <selection activeCell="J22" sqref="J22"/>
    </sheetView>
  </sheetViews>
  <sheetFormatPr defaultRowHeight="15" x14ac:dyDescent="0.25"/>
  <sheetData>
    <row r="3" spans="2:24" ht="15.75" thickBot="1" x14ac:dyDescent="0.3">
      <c r="B3" t="s">
        <v>0</v>
      </c>
      <c r="J3" t="s">
        <v>5</v>
      </c>
      <c r="R3" t="s">
        <v>6</v>
      </c>
    </row>
    <row r="4" spans="2:24" ht="48" customHeight="1" thickBot="1" x14ac:dyDescent="0.3">
      <c r="B4" s="19" t="s">
        <v>1</v>
      </c>
      <c r="C4" s="18" t="s">
        <v>7</v>
      </c>
      <c r="D4" s="14"/>
      <c r="E4" s="13" t="s">
        <v>8</v>
      </c>
      <c r="F4" s="14"/>
      <c r="G4" s="13" t="s">
        <v>11</v>
      </c>
      <c r="H4" s="15"/>
      <c r="I4" s="5"/>
      <c r="J4" s="16" t="s">
        <v>1</v>
      </c>
      <c r="K4" s="18" t="s">
        <v>7</v>
      </c>
      <c r="L4" s="14"/>
      <c r="M4" s="13" t="s">
        <v>9</v>
      </c>
      <c r="N4" s="14"/>
      <c r="O4" s="13" t="s">
        <v>11</v>
      </c>
      <c r="P4" s="15"/>
      <c r="Q4" s="5"/>
      <c r="R4" s="16" t="s">
        <v>1</v>
      </c>
      <c r="S4" s="18" t="s">
        <v>7</v>
      </c>
      <c r="T4" s="14"/>
      <c r="U4" s="13" t="s">
        <v>10</v>
      </c>
      <c r="V4" s="14"/>
      <c r="W4" s="13" t="s">
        <v>11</v>
      </c>
      <c r="X4" s="15"/>
    </row>
    <row r="5" spans="2:24" ht="15.75" thickBot="1" x14ac:dyDescent="0.3">
      <c r="B5" s="20"/>
      <c r="C5" s="6" t="s">
        <v>2</v>
      </c>
      <c r="D5" s="7" t="s">
        <v>3</v>
      </c>
      <c r="E5" s="6" t="s">
        <v>2</v>
      </c>
      <c r="F5" s="7" t="s">
        <v>3</v>
      </c>
      <c r="G5" s="6" t="s">
        <v>2</v>
      </c>
      <c r="H5" s="7" t="s">
        <v>3</v>
      </c>
      <c r="I5" s="5"/>
      <c r="J5" s="17"/>
      <c r="K5" s="6" t="s">
        <v>2</v>
      </c>
      <c r="L5" s="7" t="s">
        <v>3</v>
      </c>
      <c r="M5" s="6" t="s">
        <v>2</v>
      </c>
      <c r="N5" s="7" t="s">
        <v>3</v>
      </c>
      <c r="O5" s="6" t="s">
        <v>2</v>
      </c>
      <c r="P5" s="7" t="s">
        <v>3</v>
      </c>
      <c r="Q5" s="5"/>
      <c r="R5" s="17"/>
      <c r="S5" s="6" t="s">
        <v>2</v>
      </c>
      <c r="T5" s="7" t="s">
        <v>3</v>
      </c>
      <c r="U5" s="6" t="s">
        <v>2</v>
      </c>
      <c r="V5" s="7" t="s">
        <v>3</v>
      </c>
      <c r="W5" s="6" t="s">
        <v>2</v>
      </c>
      <c r="X5" s="7" t="s">
        <v>3</v>
      </c>
    </row>
    <row r="6" spans="2:24" ht="15.75" thickBot="1" x14ac:dyDescent="0.3">
      <c r="B6" s="2">
        <v>1</v>
      </c>
      <c r="C6" s="8">
        <v>36.595199999999998</v>
      </c>
      <c r="D6" s="9">
        <v>49</v>
      </c>
      <c r="E6" s="9">
        <v>35.7301</v>
      </c>
      <c r="F6" s="9">
        <v>15</v>
      </c>
      <c r="G6" s="9">
        <v>35.7301</v>
      </c>
      <c r="H6" s="9">
        <v>70</v>
      </c>
      <c r="J6" s="2">
        <v>1</v>
      </c>
      <c r="K6" s="8">
        <v>57.845100000000002</v>
      </c>
      <c r="L6" s="9">
        <v>38</v>
      </c>
      <c r="M6" s="9">
        <v>55.460900000000002</v>
      </c>
      <c r="N6" s="9">
        <v>70</v>
      </c>
      <c r="O6" s="9">
        <v>55.460900000000002</v>
      </c>
      <c r="P6" s="9">
        <v>181</v>
      </c>
      <c r="R6" s="2">
        <v>1</v>
      </c>
      <c r="S6" s="8">
        <v>85.006100000000004</v>
      </c>
      <c r="T6" s="9">
        <v>42</v>
      </c>
      <c r="U6" s="9">
        <v>87.189099999999996</v>
      </c>
      <c r="V6" s="9">
        <v>80</v>
      </c>
      <c r="W6" s="9">
        <v>84.745999999999995</v>
      </c>
      <c r="X6" s="9">
        <v>90</v>
      </c>
    </row>
    <row r="7" spans="2:24" ht="15.75" thickBot="1" x14ac:dyDescent="0.3">
      <c r="B7" s="3">
        <v>2</v>
      </c>
      <c r="C7" s="10">
        <v>35.7301</v>
      </c>
      <c r="D7" s="1">
        <v>12</v>
      </c>
      <c r="E7" s="1">
        <v>35.7301</v>
      </c>
      <c r="F7" s="1">
        <v>59</v>
      </c>
      <c r="G7" s="1">
        <v>35.7301</v>
      </c>
      <c r="H7" s="1">
        <v>49</v>
      </c>
      <c r="J7" s="3">
        <v>2</v>
      </c>
      <c r="K7" s="10">
        <v>55.460900000000002</v>
      </c>
      <c r="L7" s="1">
        <v>47</v>
      </c>
      <c r="M7" s="1">
        <v>56.071599999999997</v>
      </c>
      <c r="N7" s="1">
        <v>54</v>
      </c>
      <c r="O7" s="1">
        <v>55.4206</v>
      </c>
      <c r="P7" s="1">
        <v>18</v>
      </c>
      <c r="R7" s="3">
        <v>2</v>
      </c>
      <c r="S7" s="10">
        <v>88.087800000000001</v>
      </c>
      <c r="T7" s="1">
        <v>29</v>
      </c>
      <c r="U7" s="1">
        <v>87.191800000000001</v>
      </c>
      <c r="V7" s="1">
        <v>100</v>
      </c>
      <c r="W7" s="1">
        <v>84.894199999999998</v>
      </c>
      <c r="X7" s="1">
        <v>80</v>
      </c>
    </row>
    <row r="8" spans="2:24" ht="15.75" thickBot="1" x14ac:dyDescent="0.3">
      <c r="B8" s="2">
        <v>3</v>
      </c>
      <c r="C8" s="10">
        <v>35.7301</v>
      </c>
      <c r="D8" s="1">
        <v>28</v>
      </c>
      <c r="E8" s="1">
        <v>36.412799999999997</v>
      </c>
      <c r="F8" s="1">
        <v>29</v>
      </c>
      <c r="G8" s="1">
        <v>35.7301</v>
      </c>
      <c r="H8" s="1">
        <v>24</v>
      </c>
      <c r="J8" s="2">
        <v>3</v>
      </c>
      <c r="K8" s="10">
        <v>57.043599999999998</v>
      </c>
      <c r="L8" s="1">
        <v>40</v>
      </c>
      <c r="M8" s="1">
        <v>56.203000000000003</v>
      </c>
      <c r="N8" s="1">
        <v>70</v>
      </c>
      <c r="O8" s="1">
        <v>55.460900000000002</v>
      </c>
      <c r="P8" s="1">
        <v>129</v>
      </c>
      <c r="R8" s="2">
        <v>3</v>
      </c>
      <c r="S8" s="10">
        <v>89.811800000000005</v>
      </c>
      <c r="T8" s="1">
        <v>33</v>
      </c>
      <c r="U8" s="1">
        <v>87.709100000000007</v>
      </c>
      <c r="V8" s="1">
        <v>39</v>
      </c>
      <c r="W8" s="1">
        <v>84.906099999999995</v>
      </c>
      <c r="X8" s="1">
        <v>195</v>
      </c>
    </row>
    <row r="9" spans="2:24" ht="15.75" thickBot="1" x14ac:dyDescent="0.3">
      <c r="B9" s="4" t="s">
        <v>4</v>
      </c>
      <c r="C9" s="11">
        <f t="shared" ref="C9:H9" si="0">AVERAGE(C6:C8)</f>
        <v>36.018466666666662</v>
      </c>
      <c r="D9" s="12">
        <f t="shared" si="0"/>
        <v>29.666666666666668</v>
      </c>
      <c r="E9" s="11">
        <f t="shared" si="0"/>
        <v>35.957666666666661</v>
      </c>
      <c r="F9" s="12">
        <f t="shared" si="0"/>
        <v>34.333333333333336</v>
      </c>
      <c r="G9" s="11">
        <f t="shared" si="0"/>
        <v>35.7301</v>
      </c>
      <c r="H9" s="12">
        <f t="shared" si="0"/>
        <v>47.666666666666664</v>
      </c>
      <c r="J9" s="4" t="s">
        <v>4</v>
      </c>
      <c r="K9" s="11">
        <f t="shared" ref="K9:P9" si="1">AVERAGE(K6:K8)</f>
        <v>56.783200000000001</v>
      </c>
      <c r="L9" s="12">
        <f t="shared" si="1"/>
        <v>41.666666666666664</v>
      </c>
      <c r="M9" s="11">
        <f t="shared" si="1"/>
        <v>55.911833333333334</v>
      </c>
      <c r="N9" s="12">
        <f t="shared" si="1"/>
        <v>64.666666666666671</v>
      </c>
      <c r="O9" s="11">
        <f t="shared" si="1"/>
        <v>55.447466666666664</v>
      </c>
      <c r="P9" s="12">
        <f t="shared" si="1"/>
        <v>109.33333333333333</v>
      </c>
      <c r="R9" s="4" t="s">
        <v>4</v>
      </c>
      <c r="S9" s="11">
        <f t="shared" ref="S9:X9" si="2">AVERAGE(S6:S8)</f>
        <v>87.635233333333346</v>
      </c>
      <c r="T9" s="12">
        <f t="shared" si="2"/>
        <v>34.666666666666664</v>
      </c>
      <c r="U9" s="11">
        <f t="shared" si="2"/>
        <v>87.363333333333344</v>
      </c>
      <c r="V9" s="12">
        <f t="shared" si="2"/>
        <v>73</v>
      </c>
      <c r="W9" s="11">
        <f t="shared" si="2"/>
        <v>84.848766666666663</v>
      </c>
      <c r="X9" s="12">
        <f t="shared" si="2"/>
        <v>121.66666666666667</v>
      </c>
    </row>
    <row r="12" spans="2:24" ht="15.75" thickBot="1" x14ac:dyDescent="0.3">
      <c r="B12" t="s">
        <v>12</v>
      </c>
      <c r="J12" t="s">
        <v>13</v>
      </c>
      <c r="R12" t="s">
        <v>14</v>
      </c>
    </row>
    <row r="13" spans="2:24" ht="45.75" customHeight="1" thickBot="1" x14ac:dyDescent="0.3">
      <c r="B13" s="19" t="s">
        <v>1</v>
      </c>
      <c r="C13" s="18" t="s">
        <v>7</v>
      </c>
      <c r="D13" s="14"/>
      <c r="E13" s="13" t="s">
        <v>8</v>
      </c>
      <c r="F13" s="14"/>
      <c r="G13" s="13" t="s">
        <v>11</v>
      </c>
      <c r="H13" s="15"/>
      <c r="I13" s="5"/>
      <c r="J13" s="16" t="s">
        <v>1</v>
      </c>
      <c r="K13" s="18" t="s">
        <v>7</v>
      </c>
      <c r="L13" s="14"/>
      <c r="M13" s="13" t="s">
        <v>9</v>
      </c>
      <c r="N13" s="14"/>
      <c r="O13" s="13" t="s">
        <v>11</v>
      </c>
      <c r="P13" s="15"/>
      <c r="Q13" s="5"/>
      <c r="R13" s="16" t="s">
        <v>1</v>
      </c>
      <c r="S13" s="18" t="s">
        <v>7</v>
      </c>
      <c r="T13" s="14"/>
      <c r="U13" s="13" t="s">
        <v>10</v>
      </c>
      <c r="V13" s="14"/>
      <c r="W13" s="13" t="s">
        <v>11</v>
      </c>
      <c r="X13" s="15"/>
    </row>
    <row r="14" spans="2:24" ht="15.75" thickBot="1" x14ac:dyDescent="0.3">
      <c r="B14" s="20"/>
      <c r="C14" s="6" t="s">
        <v>2</v>
      </c>
      <c r="D14" s="7" t="s">
        <v>3</v>
      </c>
      <c r="E14" s="6" t="s">
        <v>2</v>
      </c>
      <c r="F14" s="7" t="s">
        <v>3</v>
      </c>
      <c r="G14" s="6" t="s">
        <v>2</v>
      </c>
      <c r="H14" s="7" t="s">
        <v>3</v>
      </c>
      <c r="I14" s="5"/>
      <c r="J14" s="17"/>
      <c r="K14" s="6" t="s">
        <v>2</v>
      </c>
      <c r="L14" s="7" t="s">
        <v>3</v>
      </c>
      <c r="M14" s="6" t="s">
        <v>2</v>
      </c>
      <c r="N14" s="7" t="s">
        <v>3</v>
      </c>
      <c r="O14" s="6" t="s">
        <v>2</v>
      </c>
      <c r="P14" s="7" t="s">
        <v>3</v>
      </c>
      <c r="Q14" s="5"/>
      <c r="R14" s="17"/>
      <c r="S14" s="6" t="s">
        <v>2</v>
      </c>
      <c r="T14" s="7" t="s">
        <v>3</v>
      </c>
      <c r="U14" s="6" t="s">
        <v>2</v>
      </c>
      <c r="V14" s="7" t="s">
        <v>3</v>
      </c>
      <c r="W14" s="6" t="s">
        <v>2</v>
      </c>
      <c r="X14" s="7" t="s">
        <v>3</v>
      </c>
    </row>
    <row r="15" spans="2:24" ht="15.75" thickBot="1" x14ac:dyDescent="0.3">
      <c r="B15" s="2">
        <v>1</v>
      </c>
      <c r="C15" s="8">
        <v>36.551400000000001</v>
      </c>
      <c r="D15" s="9">
        <v>11</v>
      </c>
      <c r="E15" s="9">
        <v>37.225200000000001</v>
      </c>
      <c r="F15" s="9">
        <v>53</v>
      </c>
      <c r="G15" s="9">
        <v>35.7301</v>
      </c>
      <c r="H15" s="9">
        <v>49</v>
      </c>
      <c r="J15" s="2">
        <v>1</v>
      </c>
      <c r="K15" s="8">
        <v>57.253100000000003</v>
      </c>
      <c r="L15" s="9">
        <v>20</v>
      </c>
      <c r="M15" s="9">
        <v>56.311700000000002</v>
      </c>
      <c r="N15" s="9">
        <v>31</v>
      </c>
      <c r="O15" s="9">
        <v>56.040799999999997</v>
      </c>
      <c r="P15" s="9">
        <v>57</v>
      </c>
      <c r="R15" s="2">
        <v>1</v>
      </c>
      <c r="S15" s="8">
        <v>91.362799999999993</v>
      </c>
      <c r="T15" s="9">
        <v>42</v>
      </c>
      <c r="U15" s="9">
        <v>86.946600000000004</v>
      </c>
      <c r="V15" s="9">
        <v>44</v>
      </c>
      <c r="W15" s="9">
        <v>86.450999999999993</v>
      </c>
      <c r="X15" s="9">
        <v>106</v>
      </c>
    </row>
    <row r="16" spans="2:24" ht="15.75" thickBot="1" x14ac:dyDescent="0.3">
      <c r="B16" s="3">
        <v>2</v>
      </c>
      <c r="C16" s="10">
        <v>38.631500000000003</v>
      </c>
      <c r="D16" s="1">
        <v>26</v>
      </c>
      <c r="E16" s="1">
        <v>36.617899999999999</v>
      </c>
      <c r="F16" s="1">
        <v>66</v>
      </c>
      <c r="G16" s="1">
        <v>35.7301</v>
      </c>
      <c r="H16" s="1">
        <v>23</v>
      </c>
      <c r="J16" s="3">
        <v>2</v>
      </c>
      <c r="K16" s="10">
        <v>61.758299999999998</v>
      </c>
      <c r="L16" s="1">
        <v>33</v>
      </c>
      <c r="M16" s="1">
        <v>56.311700000000002</v>
      </c>
      <c r="N16" s="1">
        <v>26</v>
      </c>
      <c r="O16" s="1">
        <v>56.573799999999999</v>
      </c>
      <c r="P16" s="1">
        <v>47</v>
      </c>
      <c r="R16" s="3">
        <v>2</v>
      </c>
      <c r="S16" s="10">
        <v>90.4863</v>
      </c>
      <c r="T16" s="1">
        <v>49</v>
      </c>
      <c r="U16" s="1">
        <v>88.377200000000002</v>
      </c>
      <c r="V16" s="1">
        <v>75</v>
      </c>
      <c r="W16" s="1">
        <v>87.194100000000006</v>
      </c>
      <c r="X16" s="1">
        <v>46</v>
      </c>
    </row>
    <row r="17" spans="2:24" ht="15.75" thickBot="1" x14ac:dyDescent="0.3">
      <c r="B17" s="2">
        <v>3</v>
      </c>
      <c r="C17" s="10">
        <v>36.617899999999999</v>
      </c>
      <c r="D17" s="1">
        <v>44</v>
      </c>
      <c r="E17" s="1">
        <v>36.617899999999999</v>
      </c>
      <c r="F17" s="1">
        <v>46</v>
      </c>
      <c r="G17" s="1">
        <v>35.7301</v>
      </c>
      <c r="H17" s="1">
        <v>37</v>
      </c>
      <c r="J17" s="2">
        <v>3</v>
      </c>
      <c r="K17" s="10">
        <v>59.193800000000003</v>
      </c>
      <c r="L17" s="1">
        <v>31</v>
      </c>
      <c r="M17" s="1">
        <v>57.002000000000002</v>
      </c>
      <c r="N17" s="1">
        <v>84</v>
      </c>
      <c r="O17" s="1">
        <v>56.351999999999997</v>
      </c>
      <c r="P17" s="1">
        <v>98</v>
      </c>
      <c r="R17" s="2">
        <v>3</v>
      </c>
      <c r="S17" s="10">
        <v>91.821899999999999</v>
      </c>
      <c r="T17" s="1">
        <v>39</v>
      </c>
      <c r="U17" s="1">
        <v>88.724900000000005</v>
      </c>
      <c r="V17" s="1">
        <v>38</v>
      </c>
      <c r="W17" s="1">
        <v>87.325500000000005</v>
      </c>
      <c r="X17" s="1">
        <v>73</v>
      </c>
    </row>
    <row r="18" spans="2:24" ht="15.75" thickBot="1" x14ac:dyDescent="0.3">
      <c r="B18" s="4" t="s">
        <v>4</v>
      </c>
      <c r="C18" s="11">
        <f t="shared" ref="C18:H18" si="3">AVERAGE(C15:C17)</f>
        <v>37.266933333333334</v>
      </c>
      <c r="D18" s="12">
        <f t="shared" si="3"/>
        <v>27</v>
      </c>
      <c r="E18" s="11">
        <f t="shared" si="3"/>
        <v>36.82033333333333</v>
      </c>
      <c r="F18" s="12">
        <f t="shared" si="3"/>
        <v>55</v>
      </c>
      <c r="G18" s="11">
        <f t="shared" si="3"/>
        <v>35.7301</v>
      </c>
      <c r="H18" s="12">
        <f t="shared" si="3"/>
        <v>36.333333333333336</v>
      </c>
      <c r="J18" s="4" t="s">
        <v>4</v>
      </c>
      <c r="K18" s="11">
        <f t="shared" ref="K18:P18" si="4">AVERAGE(K15:K17)</f>
        <v>59.40173333333334</v>
      </c>
      <c r="L18" s="12">
        <f t="shared" si="4"/>
        <v>28</v>
      </c>
      <c r="M18" s="11">
        <f t="shared" si="4"/>
        <v>56.541800000000002</v>
      </c>
      <c r="N18" s="12">
        <f t="shared" si="4"/>
        <v>47</v>
      </c>
      <c r="O18" s="11">
        <f t="shared" si="4"/>
        <v>56.322200000000002</v>
      </c>
      <c r="P18" s="12">
        <f t="shared" si="4"/>
        <v>67.333333333333329</v>
      </c>
      <c r="R18" s="4" t="s">
        <v>4</v>
      </c>
      <c r="S18" s="11">
        <f t="shared" ref="S18:X18" si="5">AVERAGE(S15:S17)</f>
        <v>91.223666666666659</v>
      </c>
      <c r="T18" s="12">
        <f t="shared" si="5"/>
        <v>43.333333333333336</v>
      </c>
      <c r="U18" s="11">
        <f t="shared" si="5"/>
        <v>88.016233333333332</v>
      </c>
      <c r="V18" s="12">
        <f t="shared" si="5"/>
        <v>52.333333333333336</v>
      </c>
      <c r="W18" s="11">
        <f t="shared" si="5"/>
        <v>86.990200000000002</v>
      </c>
      <c r="X18" s="12">
        <f t="shared" si="5"/>
        <v>75</v>
      </c>
    </row>
    <row r="20" spans="2:24" ht="15.75" thickBot="1" x14ac:dyDescent="0.3"/>
    <row r="21" spans="2:24" ht="30.75" thickBot="1" x14ac:dyDescent="0.3">
      <c r="B21" s="21" t="s">
        <v>15</v>
      </c>
      <c r="C21" s="22" t="s">
        <v>16</v>
      </c>
      <c r="D21" s="23" t="s">
        <v>17</v>
      </c>
      <c r="E21" s="22" t="s">
        <v>18</v>
      </c>
      <c r="F21" s="23" t="s">
        <v>19</v>
      </c>
      <c r="G21" s="22" t="s">
        <v>20</v>
      </c>
      <c r="H21" s="24" t="s">
        <v>21</v>
      </c>
    </row>
    <row r="22" spans="2:24" ht="30" x14ac:dyDescent="0.25">
      <c r="B22" s="25">
        <v>20</v>
      </c>
      <c r="C22" s="30" t="s">
        <v>22</v>
      </c>
      <c r="D22" s="31" t="s">
        <v>23</v>
      </c>
      <c r="E22" s="31">
        <v>10</v>
      </c>
      <c r="F22" s="31">
        <v>50</v>
      </c>
      <c r="G22" s="31">
        <v>36.018500000000003</v>
      </c>
      <c r="H22" s="32">
        <v>30</v>
      </c>
      <c r="J22">
        <f>(G22+G25)/2</f>
        <v>36.642700000000005</v>
      </c>
    </row>
    <row r="23" spans="2:24" ht="30" x14ac:dyDescent="0.25">
      <c r="B23" s="26">
        <v>20</v>
      </c>
      <c r="C23" s="33" t="s">
        <v>22</v>
      </c>
      <c r="D23" s="34" t="s">
        <v>24</v>
      </c>
      <c r="E23" s="34">
        <v>10</v>
      </c>
      <c r="F23" s="34">
        <v>100</v>
      </c>
      <c r="G23" s="34">
        <v>35.957700000000003</v>
      </c>
      <c r="H23" s="35">
        <v>32</v>
      </c>
    </row>
    <row r="24" spans="2:24" ht="30.75" thickBot="1" x14ac:dyDescent="0.3">
      <c r="B24" s="27">
        <v>20</v>
      </c>
      <c r="C24" s="36" t="s">
        <v>22</v>
      </c>
      <c r="D24" s="37" t="s">
        <v>25</v>
      </c>
      <c r="E24" s="37">
        <v>100</v>
      </c>
      <c r="F24" s="37">
        <v>200</v>
      </c>
      <c r="G24" s="37">
        <v>35.7301</v>
      </c>
      <c r="H24" s="38">
        <v>48</v>
      </c>
    </row>
    <row r="25" spans="2:24" ht="30" x14ac:dyDescent="0.25">
      <c r="B25" s="28">
        <v>20</v>
      </c>
      <c r="C25" s="39">
        <v>10</v>
      </c>
      <c r="D25" s="40" t="s">
        <v>23</v>
      </c>
      <c r="E25" s="40">
        <v>10</v>
      </c>
      <c r="F25" s="40">
        <v>50</v>
      </c>
      <c r="G25" s="40">
        <v>37.2669</v>
      </c>
      <c r="H25" s="41">
        <v>27</v>
      </c>
    </row>
    <row r="26" spans="2:24" ht="30" x14ac:dyDescent="0.25">
      <c r="B26" s="26">
        <v>20</v>
      </c>
      <c r="C26" s="33">
        <v>10</v>
      </c>
      <c r="D26" s="34" t="s">
        <v>24</v>
      </c>
      <c r="E26" s="34">
        <v>10</v>
      </c>
      <c r="F26" s="34">
        <v>100</v>
      </c>
      <c r="G26" s="34">
        <v>36.820300000000003</v>
      </c>
      <c r="H26" s="35">
        <v>55</v>
      </c>
    </row>
    <row r="27" spans="2:24" ht="30.75" thickBot="1" x14ac:dyDescent="0.3">
      <c r="B27" s="29">
        <v>20</v>
      </c>
      <c r="C27" s="42">
        <v>10</v>
      </c>
      <c r="D27" s="43" t="s">
        <v>25</v>
      </c>
      <c r="E27" s="43">
        <v>100</v>
      </c>
      <c r="F27" s="43">
        <v>200</v>
      </c>
      <c r="G27" s="43">
        <v>35.7301</v>
      </c>
      <c r="H27" s="44">
        <v>63</v>
      </c>
    </row>
    <row r="28" spans="2:24" ht="30" x14ac:dyDescent="0.25">
      <c r="B28" s="25">
        <v>50</v>
      </c>
      <c r="C28" s="30" t="s">
        <v>22</v>
      </c>
      <c r="D28" s="31" t="s">
        <v>23</v>
      </c>
      <c r="E28" s="31">
        <v>10</v>
      </c>
      <c r="F28" s="31">
        <v>50</v>
      </c>
      <c r="G28" s="31">
        <v>56.783200000000001</v>
      </c>
      <c r="H28" s="32">
        <v>42</v>
      </c>
    </row>
    <row r="29" spans="2:24" ht="30" x14ac:dyDescent="0.25">
      <c r="B29" s="26">
        <v>50</v>
      </c>
      <c r="C29" s="33" t="s">
        <v>22</v>
      </c>
      <c r="D29" s="34" t="s">
        <v>24</v>
      </c>
      <c r="E29" s="34">
        <v>25</v>
      </c>
      <c r="F29" s="34">
        <v>100</v>
      </c>
      <c r="G29" s="34">
        <v>55.911799999999999</v>
      </c>
      <c r="H29" s="35">
        <v>65</v>
      </c>
    </row>
    <row r="30" spans="2:24" ht="30.75" thickBot="1" x14ac:dyDescent="0.3">
      <c r="B30" s="27">
        <v>50</v>
      </c>
      <c r="C30" s="36" t="s">
        <v>22</v>
      </c>
      <c r="D30" s="37" t="s">
        <v>25</v>
      </c>
      <c r="E30" s="37">
        <v>100</v>
      </c>
      <c r="F30" s="37">
        <v>200</v>
      </c>
      <c r="G30" s="37">
        <v>55.447499999999998</v>
      </c>
      <c r="H30" s="38">
        <v>109</v>
      </c>
    </row>
    <row r="31" spans="2:24" ht="30" x14ac:dyDescent="0.25">
      <c r="B31" s="28">
        <v>50</v>
      </c>
      <c r="C31" s="39">
        <v>25</v>
      </c>
      <c r="D31" s="40" t="s">
        <v>23</v>
      </c>
      <c r="E31" s="40">
        <v>10</v>
      </c>
      <c r="F31" s="40">
        <v>50</v>
      </c>
      <c r="G31" s="40">
        <v>59.401699999999998</v>
      </c>
      <c r="H31" s="41">
        <v>28</v>
      </c>
    </row>
    <row r="32" spans="2:24" ht="30" x14ac:dyDescent="0.25">
      <c r="B32" s="26">
        <v>50</v>
      </c>
      <c r="C32" s="33">
        <v>25</v>
      </c>
      <c r="D32" s="34" t="s">
        <v>24</v>
      </c>
      <c r="E32" s="34">
        <v>25</v>
      </c>
      <c r="F32" s="34">
        <v>100</v>
      </c>
      <c r="G32" s="34">
        <v>56.541800000000002</v>
      </c>
      <c r="H32" s="35">
        <v>36</v>
      </c>
    </row>
    <row r="33" spans="2:8" ht="30.75" thickBot="1" x14ac:dyDescent="0.3">
      <c r="B33" s="29">
        <v>50</v>
      </c>
      <c r="C33" s="42">
        <v>25</v>
      </c>
      <c r="D33" s="43" t="s">
        <v>25</v>
      </c>
      <c r="E33" s="43">
        <v>100</v>
      </c>
      <c r="F33" s="43">
        <v>200</v>
      </c>
      <c r="G33" s="43">
        <v>56.322200000000002</v>
      </c>
      <c r="H33" s="44">
        <v>82</v>
      </c>
    </row>
    <row r="34" spans="2:8" ht="30" x14ac:dyDescent="0.25">
      <c r="B34" s="25">
        <v>100</v>
      </c>
      <c r="C34" s="30" t="s">
        <v>22</v>
      </c>
      <c r="D34" s="31" t="s">
        <v>23</v>
      </c>
      <c r="E34" s="31">
        <v>10</v>
      </c>
      <c r="F34" s="31">
        <v>50</v>
      </c>
      <c r="G34" s="31">
        <v>87.653199999999998</v>
      </c>
      <c r="H34" s="32">
        <v>35</v>
      </c>
    </row>
    <row r="35" spans="2:8" ht="30" x14ac:dyDescent="0.25">
      <c r="B35" s="26">
        <v>100</v>
      </c>
      <c r="C35" s="33" t="s">
        <v>22</v>
      </c>
      <c r="D35" s="34" t="s">
        <v>24</v>
      </c>
      <c r="E35" s="34">
        <v>50</v>
      </c>
      <c r="F35" s="34">
        <v>100</v>
      </c>
      <c r="G35" s="34">
        <v>87.363299999999995</v>
      </c>
      <c r="H35" s="35">
        <v>73</v>
      </c>
    </row>
    <row r="36" spans="2:8" ht="30.75" thickBot="1" x14ac:dyDescent="0.3">
      <c r="B36" s="27">
        <v>100</v>
      </c>
      <c r="C36" s="36" t="s">
        <v>22</v>
      </c>
      <c r="D36" s="37" t="s">
        <v>25</v>
      </c>
      <c r="E36" s="37">
        <v>100</v>
      </c>
      <c r="F36" s="37">
        <v>200</v>
      </c>
      <c r="G36" s="37">
        <v>84.848799999999997</v>
      </c>
      <c r="H36" s="38">
        <v>122</v>
      </c>
    </row>
    <row r="37" spans="2:8" ht="30" x14ac:dyDescent="0.25">
      <c r="B37" s="25">
        <v>100</v>
      </c>
      <c r="C37" s="30">
        <v>50</v>
      </c>
      <c r="D37" s="31" t="s">
        <v>23</v>
      </c>
      <c r="E37" s="31">
        <v>10</v>
      </c>
      <c r="F37" s="31">
        <v>50</v>
      </c>
      <c r="G37" s="31">
        <v>91.223699999999994</v>
      </c>
      <c r="H37" s="32">
        <v>43</v>
      </c>
    </row>
    <row r="38" spans="2:8" ht="30" x14ac:dyDescent="0.25">
      <c r="B38" s="26">
        <v>100</v>
      </c>
      <c r="C38" s="33">
        <v>50</v>
      </c>
      <c r="D38" s="34" t="s">
        <v>24</v>
      </c>
      <c r="E38" s="34">
        <v>50</v>
      </c>
      <c r="F38" s="34">
        <v>100</v>
      </c>
      <c r="G38" s="34">
        <v>88.061199999999999</v>
      </c>
      <c r="H38" s="35">
        <v>52</v>
      </c>
    </row>
    <row r="39" spans="2:8" ht="30.75" thickBot="1" x14ac:dyDescent="0.3">
      <c r="B39" s="27">
        <v>100</v>
      </c>
      <c r="C39" s="36">
        <v>50</v>
      </c>
      <c r="D39" s="37" t="s">
        <v>25</v>
      </c>
      <c r="E39" s="37">
        <v>100</v>
      </c>
      <c r="F39" s="37">
        <v>200</v>
      </c>
      <c r="G39" s="37">
        <v>86.990200000000002</v>
      </c>
      <c r="H39" s="38">
        <v>75</v>
      </c>
    </row>
  </sheetData>
  <mergeCells count="24">
    <mergeCell ref="W4:X4"/>
    <mergeCell ref="C4:D4"/>
    <mergeCell ref="E4:F4"/>
    <mergeCell ref="G4:H4"/>
    <mergeCell ref="B4:B5"/>
    <mergeCell ref="J4:J5"/>
    <mergeCell ref="K4:L4"/>
    <mergeCell ref="M4:N4"/>
    <mergeCell ref="O4:P4"/>
    <mergeCell ref="R4:R5"/>
    <mergeCell ref="S4:T4"/>
    <mergeCell ref="U4:V4"/>
    <mergeCell ref="W13:X13"/>
    <mergeCell ref="B13:B14"/>
    <mergeCell ref="C13:D13"/>
    <mergeCell ref="E13:F13"/>
    <mergeCell ref="G13:H13"/>
    <mergeCell ref="J13:J14"/>
    <mergeCell ref="K13:L13"/>
    <mergeCell ref="M13:N13"/>
    <mergeCell ref="O13:P13"/>
    <mergeCell ref="R13:R14"/>
    <mergeCell ref="S13:T13"/>
    <mergeCell ref="U13:V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</dc:creator>
  <cp:lastModifiedBy>Данил Новиков</cp:lastModifiedBy>
  <dcterms:created xsi:type="dcterms:W3CDTF">2015-06-05T18:17:20Z</dcterms:created>
  <dcterms:modified xsi:type="dcterms:W3CDTF">2025-10-14T18:14:25Z</dcterms:modified>
</cp:coreProperties>
</file>